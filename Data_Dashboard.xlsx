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O\Desktop\VJF\"/>
    </mc:Choice>
  </mc:AlternateContent>
  <xr:revisionPtr revIDLastSave="0" documentId="8_{E06FA7FA-E77A-4CB8-BAAD-32D82565534D}" xr6:coauthVersionLast="47" xr6:coauthVersionMax="47" xr10:uidLastSave="{00000000-0000-0000-0000-000000000000}"/>
  <bookViews>
    <workbookView xWindow="-120" yWindow="-120" windowWidth="20730" windowHeight="11160" activeTab="1" xr2:uid="{AD5B8F59-AE3A-4401-A67A-A2BA049565AD}"/>
  </bookViews>
  <sheets>
    <sheet name="Concentrado metas y avance" sheetId="1" r:id="rId1"/>
    <sheet name="Meta Reinscrito" sheetId="3" r:id="rId2"/>
    <sheet name="Avance 2526" sheetId="2" r:id="rId3"/>
  </sheets>
  <definedNames>
    <definedName name="SegmentaciónDeDatos_Campus">#N/A</definedName>
    <definedName name="SegmentaciónDeDatos_Mes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  <x14:slicerCache r:id="rId5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3" l="1"/>
  <c r="E14" i="3"/>
  <c r="E13" i="3"/>
  <c r="E12" i="3"/>
  <c r="E11" i="3"/>
  <c r="E10" i="3"/>
  <c r="E9" i="3"/>
  <c r="E8" i="3"/>
  <c r="E7" i="3"/>
  <c r="E6" i="3"/>
  <c r="E5" i="3"/>
  <c r="E4" i="3"/>
  <c r="E3" i="3"/>
  <c r="E2" i="3"/>
  <c r="G169" i="1"/>
  <c r="G170" i="1"/>
  <c r="G171" i="1"/>
  <c r="K169" i="1"/>
  <c r="K170" i="1"/>
  <c r="K171" i="1"/>
  <c r="L169" i="1"/>
  <c r="L170" i="1"/>
  <c r="L171" i="1"/>
  <c r="N171" i="1"/>
  <c r="O169" i="1"/>
  <c r="N169" i="1" s="1"/>
  <c r="O170" i="1"/>
  <c r="N170" i="1" s="1"/>
  <c r="O171" i="1"/>
  <c r="M171" i="1" s="1"/>
  <c r="G164" i="1"/>
  <c r="G165" i="1"/>
  <c r="G166" i="1"/>
  <c r="G167" i="1"/>
  <c r="G168" i="1"/>
  <c r="K164" i="1"/>
  <c r="K165" i="1"/>
  <c r="K166" i="1"/>
  <c r="K167" i="1"/>
  <c r="K168" i="1"/>
  <c r="L164" i="1"/>
  <c r="L165" i="1"/>
  <c r="L166" i="1"/>
  <c r="L167" i="1"/>
  <c r="L168" i="1"/>
  <c r="O164" i="1"/>
  <c r="O165" i="1"/>
  <c r="O166" i="1"/>
  <c r="O167" i="1"/>
  <c r="O168" i="1"/>
  <c r="G159" i="1"/>
  <c r="G160" i="1"/>
  <c r="G161" i="1"/>
  <c r="G162" i="1"/>
  <c r="G163" i="1"/>
  <c r="K159" i="1"/>
  <c r="K160" i="1"/>
  <c r="K161" i="1"/>
  <c r="K162" i="1"/>
  <c r="K163" i="1"/>
  <c r="L159" i="1"/>
  <c r="L160" i="1"/>
  <c r="L161" i="1"/>
  <c r="L162" i="1"/>
  <c r="L163" i="1"/>
  <c r="O159" i="1"/>
  <c r="O160" i="1"/>
  <c r="O161" i="1"/>
  <c r="O162" i="1"/>
  <c r="O163" i="1"/>
  <c r="G158" i="1"/>
  <c r="K158" i="1"/>
  <c r="L158" i="1"/>
  <c r="O158" i="1"/>
  <c r="M170" i="1" l="1"/>
  <c r="M169" i="1"/>
  <c r="G199" i="2" l="1"/>
  <c r="F199" i="2"/>
  <c r="G198" i="2"/>
  <c r="F198" i="2"/>
  <c r="G197" i="2"/>
  <c r="F197" i="2"/>
  <c r="G196" i="2"/>
  <c r="F196" i="2"/>
  <c r="G195" i="2"/>
  <c r="F195" i="2"/>
  <c r="G194" i="2"/>
  <c r="F194" i="2"/>
  <c r="G193" i="2"/>
  <c r="F193" i="2"/>
  <c r="G192" i="2"/>
  <c r="F192" i="2"/>
  <c r="G191" i="2"/>
  <c r="F191" i="2"/>
  <c r="G190" i="2"/>
  <c r="F190" i="2"/>
  <c r="G189" i="2"/>
  <c r="F189" i="2"/>
  <c r="G188" i="2"/>
  <c r="F188" i="2"/>
  <c r="G187" i="2"/>
  <c r="F187" i="2"/>
  <c r="G186" i="2"/>
  <c r="F186" i="2"/>
  <c r="G185" i="2"/>
  <c r="F185" i="2"/>
  <c r="G184" i="2"/>
  <c r="F184" i="2"/>
  <c r="G183" i="2"/>
  <c r="F183" i="2"/>
  <c r="G182" i="2"/>
  <c r="F182" i="2"/>
  <c r="G181" i="2"/>
  <c r="F181" i="2"/>
  <c r="G180" i="2"/>
  <c r="F180" i="2"/>
  <c r="G179" i="2"/>
  <c r="F179" i="2"/>
  <c r="G178" i="2"/>
  <c r="F178" i="2"/>
  <c r="G177" i="2"/>
  <c r="F177" i="2"/>
  <c r="G176" i="2"/>
  <c r="F176" i="2"/>
  <c r="G175" i="2"/>
  <c r="F175" i="2"/>
  <c r="G174" i="2"/>
  <c r="F174" i="2"/>
  <c r="G173" i="2"/>
  <c r="F173" i="2"/>
  <c r="G172" i="2"/>
  <c r="F172" i="2"/>
  <c r="G171" i="2"/>
  <c r="F171" i="2"/>
  <c r="G170" i="2"/>
  <c r="F170" i="2"/>
  <c r="G169" i="2"/>
  <c r="F169" i="2"/>
  <c r="G168" i="2"/>
  <c r="F168" i="2"/>
  <c r="G167" i="2"/>
  <c r="F167" i="2"/>
  <c r="G166" i="2"/>
  <c r="F166" i="2"/>
  <c r="G165" i="2"/>
  <c r="F165" i="2"/>
  <c r="G164" i="2"/>
  <c r="F164" i="2"/>
  <c r="G163" i="2"/>
  <c r="F163" i="2"/>
  <c r="G162" i="2"/>
  <c r="F162" i="2"/>
  <c r="G161" i="2"/>
  <c r="F161" i="2"/>
  <c r="G160" i="2"/>
  <c r="F160" i="2"/>
  <c r="G159" i="2"/>
  <c r="F159" i="2"/>
  <c r="G158" i="2"/>
  <c r="F158" i="2"/>
  <c r="G157" i="2"/>
  <c r="F157" i="2"/>
  <c r="G156" i="2"/>
  <c r="F156" i="2"/>
  <c r="G155" i="2"/>
  <c r="F155" i="2"/>
  <c r="G154" i="2"/>
  <c r="F154" i="2"/>
  <c r="G153" i="2"/>
  <c r="F153" i="2"/>
  <c r="G152" i="2"/>
  <c r="F152" i="2"/>
  <c r="G151" i="2"/>
  <c r="F151" i="2"/>
  <c r="G150" i="2"/>
  <c r="F150" i="2"/>
  <c r="G149" i="2"/>
  <c r="F149" i="2"/>
  <c r="G148" i="2"/>
  <c r="F148" i="2"/>
  <c r="G147" i="2"/>
  <c r="F147" i="2"/>
  <c r="G146" i="2"/>
  <c r="F146" i="2"/>
  <c r="G145" i="2"/>
  <c r="F145" i="2"/>
  <c r="G144" i="2"/>
  <c r="F144" i="2"/>
  <c r="G143" i="2"/>
  <c r="F143" i="2"/>
  <c r="G142" i="2"/>
  <c r="F142" i="2"/>
  <c r="G141" i="2"/>
  <c r="F141" i="2"/>
  <c r="G140" i="2"/>
  <c r="F140" i="2"/>
  <c r="G139" i="2"/>
  <c r="F139" i="2"/>
  <c r="G138" i="2"/>
  <c r="F138" i="2"/>
  <c r="G137" i="2"/>
  <c r="F137" i="2"/>
  <c r="G136" i="2"/>
  <c r="F136" i="2"/>
  <c r="G135" i="2"/>
  <c r="F135" i="2"/>
  <c r="G134" i="2"/>
  <c r="F134" i="2"/>
  <c r="G133" i="2"/>
  <c r="F133" i="2"/>
  <c r="G132" i="2"/>
  <c r="F132" i="2"/>
  <c r="G131" i="2"/>
  <c r="F131" i="2"/>
  <c r="G130" i="2"/>
  <c r="F130" i="2"/>
  <c r="G129" i="2"/>
  <c r="F129" i="2"/>
  <c r="G128" i="2"/>
  <c r="F128" i="2"/>
  <c r="G127" i="2"/>
  <c r="F127" i="2"/>
  <c r="G126" i="2"/>
  <c r="F126" i="2"/>
  <c r="G125" i="2"/>
  <c r="F125" i="2"/>
  <c r="G124" i="2"/>
  <c r="F124" i="2"/>
  <c r="G123" i="2"/>
  <c r="F123" i="2"/>
  <c r="G122" i="2"/>
  <c r="F122" i="2"/>
  <c r="G121" i="2"/>
  <c r="F121" i="2"/>
  <c r="G120" i="2"/>
  <c r="F120" i="2"/>
  <c r="G119" i="2"/>
  <c r="F119" i="2"/>
  <c r="G118" i="2"/>
  <c r="F118" i="2"/>
  <c r="G117" i="2"/>
  <c r="F117" i="2"/>
  <c r="G116" i="2"/>
  <c r="F116" i="2"/>
  <c r="G115" i="2"/>
  <c r="F115" i="2"/>
  <c r="G114" i="2"/>
  <c r="F114" i="2"/>
  <c r="G113" i="2"/>
  <c r="F113" i="2"/>
  <c r="G112" i="2"/>
  <c r="F112" i="2"/>
  <c r="G111" i="2"/>
  <c r="F111" i="2"/>
  <c r="G110" i="2"/>
  <c r="F110" i="2"/>
  <c r="G109" i="2"/>
  <c r="F109" i="2"/>
  <c r="G108" i="2"/>
  <c r="F108" i="2"/>
  <c r="G107" i="2"/>
  <c r="F107" i="2"/>
  <c r="G106" i="2"/>
  <c r="F106" i="2"/>
  <c r="G105" i="2"/>
  <c r="F105" i="2"/>
  <c r="G104" i="2"/>
  <c r="F104" i="2"/>
  <c r="G103" i="2"/>
  <c r="F103" i="2"/>
  <c r="G102" i="2"/>
  <c r="F102" i="2"/>
  <c r="G101" i="2"/>
  <c r="F101" i="2"/>
  <c r="G100" i="2"/>
  <c r="F100" i="2"/>
  <c r="G99" i="2"/>
  <c r="F99" i="2"/>
  <c r="G98" i="2"/>
  <c r="F98" i="2"/>
  <c r="G97" i="2"/>
  <c r="F97" i="2"/>
  <c r="G96" i="2"/>
  <c r="F96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  <c r="N157" i="1" l="1"/>
  <c r="M157" i="1"/>
  <c r="L157" i="1"/>
  <c r="K157" i="1"/>
  <c r="G157" i="1"/>
  <c r="N156" i="1"/>
  <c r="M156" i="1"/>
  <c r="L156" i="1"/>
  <c r="K156" i="1"/>
  <c r="G156" i="1"/>
  <c r="N155" i="1"/>
  <c r="M155" i="1"/>
  <c r="L155" i="1"/>
  <c r="K155" i="1"/>
  <c r="N154" i="1"/>
  <c r="M154" i="1"/>
  <c r="L154" i="1"/>
  <c r="K154" i="1"/>
  <c r="G154" i="1"/>
  <c r="N153" i="1"/>
  <c r="M153" i="1"/>
  <c r="L153" i="1"/>
  <c r="K153" i="1"/>
  <c r="G153" i="1"/>
  <c r="N152" i="1"/>
  <c r="M152" i="1"/>
  <c r="L152" i="1"/>
  <c r="K152" i="1"/>
  <c r="G152" i="1"/>
  <c r="N151" i="1"/>
  <c r="M151" i="1"/>
  <c r="L151" i="1"/>
  <c r="K151" i="1"/>
  <c r="G151" i="1"/>
  <c r="N150" i="1"/>
  <c r="M150" i="1"/>
  <c r="L150" i="1"/>
  <c r="K150" i="1"/>
  <c r="G150" i="1"/>
  <c r="N149" i="1"/>
  <c r="M149" i="1"/>
  <c r="L149" i="1"/>
  <c r="K149" i="1"/>
  <c r="G149" i="1"/>
  <c r="N148" i="1"/>
  <c r="M148" i="1"/>
  <c r="L148" i="1"/>
  <c r="K148" i="1"/>
  <c r="G148" i="1"/>
  <c r="N147" i="1"/>
  <c r="M147" i="1"/>
  <c r="L147" i="1"/>
  <c r="K147" i="1"/>
  <c r="G147" i="1"/>
  <c r="N146" i="1"/>
  <c r="M146" i="1"/>
  <c r="L146" i="1"/>
  <c r="K146" i="1"/>
  <c r="G146" i="1"/>
  <c r="N145" i="1"/>
  <c r="M145" i="1"/>
  <c r="L145" i="1"/>
  <c r="K145" i="1"/>
  <c r="G145" i="1"/>
  <c r="N144" i="1"/>
  <c r="M144" i="1"/>
  <c r="L144" i="1"/>
  <c r="K144" i="1"/>
  <c r="G144" i="1"/>
  <c r="N143" i="1"/>
  <c r="M143" i="1"/>
  <c r="L143" i="1"/>
  <c r="K143" i="1"/>
  <c r="G143" i="1"/>
  <c r="N142" i="1"/>
  <c r="M142" i="1"/>
  <c r="L142" i="1"/>
  <c r="K142" i="1"/>
  <c r="G142" i="1"/>
  <c r="N141" i="1"/>
  <c r="M141" i="1"/>
  <c r="L141" i="1"/>
  <c r="K141" i="1"/>
  <c r="G141" i="1"/>
  <c r="N140" i="1"/>
  <c r="M140" i="1"/>
  <c r="L140" i="1"/>
  <c r="K140" i="1"/>
  <c r="G140" i="1"/>
  <c r="N139" i="1"/>
  <c r="M139" i="1"/>
  <c r="L139" i="1"/>
  <c r="K139" i="1"/>
  <c r="G139" i="1"/>
  <c r="N138" i="1"/>
  <c r="M138" i="1"/>
  <c r="L138" i="1"/>
  <c r="K138" i="1"/>
  <c r="G138" i="1"/>
  <c r="N137" i="1"/>
  <c r="M137" i="1"/>
  <c r="L137" i="1"/>
  <c r="K137" i="1"/>
  <c r="G137" i="1"/>
  <c r="N136" i="1"/>
  <c r="M136" i="1"/>
  <c r="L136" i="1"/>
  <c r="K136" i="1"/>
  <c r="G136" i="1"/>
  <c r="N135" i="1"/>
  <c r="M135" i="1"/>
  <c r="L135" i="1"/>
  <c r="K135" i="1"/>
  <c r="G135" i="1"/>
  <c r="N134" i="1"/>
  <c r="M134" i="1"/>
  <c r="L134" i="1"/>
  <c r="K134" i="1"/>
  <c r="N133" i="1"/>
  <c r="M133" i="1"/>
  <c r="L133" i="1"/>
  <c r="K133" i="1"/>
  <c r="G133" i="1"/>
  <c r="N132" i="1"/>
  <c r="M132" i="1"/>
  <c r="L132" i="1"/>
  <c r="K132" i="1"/>
  <c r="G132" i="1"/>
  <c r="N131" i="1"/>
  <c r="M131" i="1"/>
  <c r="L131" i="1"/>
  <c r="K131" i="1"/>
  <c r="N130" i="1"/>
  <c r="M130" i="1"/>
  <c r="L130" i="1"/>
  <c r="K130" i="1"/>
  <c r="G130" i="1"/>
  <c r="N129" i="1"/>
  <c r="M129" i="1"/>
  <c r="L129" i="1"/>
  <c r="K129" i="1"/>
  <c r="G129" i="1"/>
  <c r="N128" i="1"/>
  <c r="M128" i="1"/>
  <c r="L128" i="1"/>
  <c r="K128" i="1"/>
  <c r="G128" i="1"/>
  <c r="N127" i="1"/>
  <c r="M127" i="1"/>
  <c r="L127" i="1"/>
  <c r="K127" i="1"/>
  <c r="N126" i="1"/>
  <c r="M126" i="1"/>
  <c r="L126" i="1"/>
  <c r="K126" i="1"/>
  <c r="N125" i="1"/>
  <c r="M125" i="1"/>
  <c r="L125" i="1"/>
  <c r="K125" i="1"/>
  <c r="N124" i="1"/>
  <c r="M124" i="1"/>
  <c r="L124" i="1"/>
  <c r="K124" i="1"/>
  <c r="N123" i="1"/>
  <c r="M123" i="1"/>
  <c r="L123" i="1"/>
  <c r="K123" i="1"/>
  <c r="N122" i="1"/>
  <c r="M122" i="1"/>
  <c r="L122" i="1"/>
  <c r="K122" i="1"/>
  <c r="N121" i="1"/>
  <c r="M121" i="1"/>
  <c r="L121" i="1"/>
  <c r="K121" i="1"/>
  <c r="N120" i="1"/>
  <c r="M120" i="1"/>
  <c r="L120" i="1"/>
  <c r="K120" i="1"/>
  <c r="G120" i="1"/>
  <c r="N119" i="1"/>
  <c r="M119" i="1"/>
  <c r="L119" i="1"/>
  <c r="K119" i="1"/>
  <c r="G119" i="1"/>
  <c r="N118" i="1"/>
  <c r="M118" i="1"/>
  <c r="L118" i="1"/>
  <c r="K118" i="1"/>
  <c r="G118" i="1"/>
  <c r="N117" i="1"/>
  <c r="M117" i="1"/>
  <c r="L117" i="1"/>
  <c r="K117" i="1"/>
  <c r="G117" i="1"/>
  <c r="N116" i="1"/>
  <c r="M116" i="1"/>
  <c r="L116" i="1"/>
  <c r="K116" i="1"/>
  <c r="G116" i="1"/>
  <c r="N115" i="1"/>
  <c r="M115" i="1"/>
  <c r="L115" i="1"/>
  <c r="K115" i="1"/>
  <c r="G115" i="1"/>
  <c r="N114" i="1"/>
  <c r="M114" i="1"/>
  <c r="L114" i="1"/>
  <c r="K114" i="1"/>
  <c r="G114" i="1"/>
  <c r="N113" i="1"/>
  <c r="M113" i="1"/>
  <c r="L113" i="1"/>
  <c r="K113" i="1"/>
  <c r="G113" i="1"/>
  <c r="N112" i="1"/>
  <c r="M112" i="1"/>
  <c r="L112" i="1"/>
  <c r="K112" i="1"/>
  <c r="G112" i="1"/>
  <c r="N111" i="1"/>
  <c r="M111" i="1"/>
  <c r="L111" i="1"/>
  <c r="K111" i="1"/>
  <c r="G111" i="1"/>
  <c r="N110" i="1"/>
  <c r="M110" i="1"/>
  <c r="L110" i="1"/>
  <c r="K110" i="1"/>
  <c r="G110" i="1"/>
  <c r="O109" i="1"/>
  <c r="L109" i="1"/>
  <c r="K109" i="1"/>
  <c r="G109" i="1"/>
  <c r="O108" i="1"/>
  <c r="L108" i="1"/>
  <c r="K108" i="1"/>
  <c r="G108" i="1"/>
  <c r="O107" i="1"/>
  <c r="L107" i="1"/>
  <c r="K107" i="1"/>
  <c r="G107" i="1"/>
  <c r="O106" i="1"/>
  <c r="L106" i="1"/>
  <c r="K106" i="1"/>
  <c r="G106" i="1"/>
  <c r="O105" i="1"/>
  <c r="L105" i="1"/>
  <c r="K105" i="1"/>
  <c r="O104" i="1"/>
  <c r="L104" i="1"/>
  <c r="K104" i="1"/>
  <c r="O103" i="1"/>
  <c r="L103" i="1"/>
  <c r="K103" i="1"/>
  <c r="O102" i="1"/>
  <c r="L102" i="1"/>
  <c r="K102" i="1"/>
  <c r="O101" i="1"/>
  <c r="L101" i="1"/>
  <c r="K101" i="1"/>
  <c r="O100" i="1"/>
  <c r="L100" i="1"/>
  <c r="K100" i="1"/>
  <c r="O99" i="1"/>
  <c r="L99" i="1"/>
  <c r="K99" i="1"/>
  <c r="O98" i="1"/>
  <c r="L98" i="1"/>
  <c r="K98" i="1"/>
  <c r="G98" i="1"/>
  <c r="O97" i="1"/>
  <c r="L97" i="1"/>
  <c r="K97" i="1"/>
  <c r="G97" i="1"/>
  <c r="O96" i="1"/>
  <c r="L96" i="1"/>
  <c r="K96" i="1"/>
  <c r="G96" i="1"/>
  <c r="O95" i="1"/>
  <c r="L95" i="1"/>
  <c r="K95" i="1"/>
  <c r="G95" i="1"/>
  <c r="O94" i="1"/>
  <c r="L94" i="1"/>
  <c r="K94" i="1"/>
  <c r="G94" i="1"/>
  <c r="O93" i="1"/>
  <c r="L93" i="1"/>
  <c r="K93" i="1"/>
  <c r="G93" i="1"/>
  <c r="O92" i="1"/>
  <c r="L92" i="1"/>
  <c r="K92" i="1"/>
  <c r="G92" i="1"/>
  <c r="O91" i="1"/>
  <c r="L91" i="1"/>
  <c r="K91" i="1"/>
  <c r="G91" i="1"/>
  <c r="O90" i="1"/>
  <c r="L90" i="1"/>
  <c r="K90" i="1"/>
  <c r="G90" i="1"/>
  <c r="O89" i="1"/>
  <c r="L89" i="1"/>
  <c r="K89" i="1"/>
  <c r="G89" i="1"/>
  <c r="O88" i="1"/>
  <c r="L88" i="1"/>
  <c r="K88" i="1"/>
  <c r="O87" i="1"/>
  <c r="L87" i="1"/>
  <c r="K87" i="1"/>
  <c r="O86" i="1"/>
  <c r="L86" i="1"/>
  <c r="K86" i="1"/>
  <c r="G86" i="1"/>
  <c r="O85" i="1"/>
  <c r="L85" i="1"/>
  <c r="K85" i="1"/>
  <c r="O84" i="1"/>
  <c r="L84" i="1"/>
  <c r="K84" i="1"/>
  <c r="G84" i="1"/>
  <c r="O83" i="1"/>
  <c r="L83" i="1"/>
  <c r="K83" i="1"/>
  <c r="G83" i="1"/>
  <c r="O82" i="1"/>
  <c r="L82" i="1"/>
  <c r="K82" i="1"/>
  <c r="G82" i="1"/>
  <c r="O81" i="1"/>
  <c r="L81" i="1"/>
  <c r="K81" i="1"/>
  <c r="G81" i="1"/>
  <c r="O80" i="1"/>
  <c r="L80" i="1"/>
  <c r="K80" i="1"/>
  <c r="O79" i="1"/>
  <c r="L79" i="1"/>
  <c r="K79" i="1"/>
  <c r="O78" i="1"/>
  <c r="L78" i="1"/>
  <c r="K78" i="1"/>
  <c r="O77" i="1"/>
  <c r="L77" i="1"/>
  <c r="K77" i="1"/>
  <c r="O76" i="1"/>
  <c r="L76" i="1"/>
  <c r="K76" i="1"/>
  <c r="O75" i="1"/>
  <c r="L75" i="1"/>
  <c r="K75" i="1"/>
  <c r="O74" i="1"/>
  <c r="L74" i="1"/>
  <c r="K74" i="1"/>
  <c r="O73" i="1"/>
  <c r="L73" i="1"/>
  <c r="K73" i="1"/>
  <c r="O72" i="1"/>
  <c r="L72" i="1"/>
  <c r="K72" i="1"/>
  <c r="G72" i="1"/>
  <c r="O71" i="1"/>
  <c r="L71" i="1"/>
  <c r="K71" i="1"/>
  <c r="G71" i="1"/>
  <c r="O70" i="1"/>
  <c r="L70" i="1"/>
  <c r="K70" i="1"/>
  <c r="G70" i="1"/>
  <c r="O69" i="1"/>
  <c r="L69" i="1"/>
  <c r="K69" i="1"/>
  <c r="G69" i="1"/>
  <c r="O68" i="1"/>
  <c r="L68" i="1"/>
  <c r="K68" i="1"/>
  <c r="G68" i="1"/>
  <c r="O67" i="1"/>
  <c r="L67" i="1"/>
  <c r="K67" i="1"/>
  <c r="O66" i="1"/>
  <c r="L66" i="1"/>
  <c r="K66" i="1"/>
  <c r="G66" i="1"/>
  <c r="O65" i="1"/>
  <c r="L65" i="1"/>
  <c r="K65" i="1"/>
  <c r="G65" i="1"/>
  <c r="O64" i="1"/>
  <c r="L64" i="1"/>
  <c r="K64" i="1"/>
  <c r="G64" i="1"/>
  <c r="O63" i="1"/>
  <c r="L63" i="1"/>
  <c r="K63" i="1"/>
  <c r="G63" i="1"/>
  <c r="O62" i="1"/>
  <c r="L62" i="1"/>
  <c r="K62" i="1"/>
  <c r="G62" i="1"/>
  <c r="O61" i="1"/>
  <c r="L61" i="1"/>
  <c r="K61" i="1"/>
  <c r="G61" i="1"/>
  <c r="O60" i="1"/>
  <c r="L60" i="1"/>
  <c r="K60" i="1"/>
  <c r="G60" i="1"/>
  <c r="O59" i="1"/>
  <c r="L59" i="1"/>
  <c r="K59" i="1"/>
  <c r="G59" i="1"/>
  <c r="O58" i="1"/>
  <c r="L58" i="1"/>
  <c r="K58" i="1"/>
  <c r="G58" i="1"/>
  <c r="O57" i="1"/>
  <c r="L57" i="1"/>
  <c r="K57" i="1"/>
  <c r="G57" i="1"/>
  <c r="O56" i="1"/>
  <c r="L56" i="1"/>
  <c r="K56" i="1"/>
  <c r="G56" i="1"/>
  <c r="O55" i="1"/>
  <c r="L55" i="1"/>
  <c r="K55" i="1"/>
  <c r="G55" i="1"/>
  <c r="O54" i="1"/>
  <c r="L54" i="1"/>
  <c r="K54" i="1"/>
  <c r="G54" i="1"/>
  <c r="O53" i="1"/>
  <c r="L53" i="1"/>
  <c r="K53" i="1"/>
  <c r="G53" i="1"/>
  <c r="O52" i="1"/>
  <c r="L52" i="1"/>
  <c r="K52" i="1"/>
  <c r="G52" i="1"/>
  <c r="O51" i="1"/>
  <c r="L51" i="1"/>
  <c r="K51" i="1"/>
  <c r="G51" i="1"/>
  <c r="O50" i="1"/>
  <c r="L50" i="1"/>
  <c r="K50" i="1"/>
  <c r="O49" i="1"/>
  <c r="L49" i="1"/>
  <c r="K49" i="1"/>
  <c r="O48" i="1"/>
  <c r="L48" i="1"/>
  <c r="K48" i="1"/>
  <c r="G48" i="1"/>
  <c r="O47" i="1"/>
  <c r="L47" i="1"/>
  <c r="K47" i="1"/>
  <c r="G47" i="1"/>
  <c r="O46" i="1"/>
  <c r="L46" i="1"/>
  <c r="K46" i="1"/>
  <c r="G46" i="1"/>
  <c r="O45" i="1"/>
  <c r="L45" i="1"/>
  <c r="K45" i="1"/>
  <c r="G45" i="1"/>
  <c r="O44" i="1"/>
  <c r="L44" i="1"/>
  <c r="K44" i="1"/>
  <c r="G44" i="1"/>
  <c r="O43" i="1"/>
  <c r="L43" i="1"/>
  <c r="K43" i="1"/>
  <c r="G43" i="1"/>
  <c r="O42" i="1"/>
  <c r="L42" i="1"/>
  <c r="K42" i="1"/>
  <c r="G42" i="1"/>
  <c r="O41" i="1"/>
  <c r="L41" i="1"/>
  <c r="K41" i="1"/>
  <c r="O40" i="1"/>
  <c r="L40" i="1"/>
  <c r="K40" i="1"/>
  <c r="O39" i="1"/>
  <c r="L39" i="1"/>
  <c r="K39" i="1"/>
  <c r="O38" i="1"/>
  <c r="L38" i="1"/>
  <c r="K38" i="1"/>
  <c r="O37" i="1"/>
  <c r="L37" i="1"/>
  <c r="K37" i="1"/>
  <c r="G37" i="1"/>
  <c r="O36" i="1"/>
  <c r="L36" i="1"/>
  <c r="K36" i="1"/>
  <c r="G36" i="1"/>
  <c r="O35" i="1"/>
  <c r="L35" i="1"/>
  <c r="K35" i="1"/>
  <c r="G35" i="1"/>
  <c r="O34" i="1"/>
  <c r="L34" i="1"/>
  <c r="K34" i="1"/>
  <c r="G34" i="1"/>
  <c r="O33" i="1"/>
  <c r="L33" i="1"/>
  <c r="K33" i="1"/>
  <c r="G33" i="1"/>
  <c r="O32" i="1"/>
  <c r="L32" i="1"/>
  <c r="K32" i="1"/>
  <c r="G32" i="1"/>
  <c r="O31" i="1"/>
  <c r="L31" i="1"/>
  <c r="K31" i="1"/>
  <c r="G31" i="1"/>
  <c r="O30" i="1"/>
  <c r="L30" i="1"/>
  <c r="K30" i="1"/>
  <c r="G30" i="1"/>
  <c r="O29" i="1"/>
  <c r="L29" i="1"/>
  <c r="K29" i="1"/>
  <c r="G29" i="1"/>
  <c r="O28" i="1"/>
  <c r="L28" i="1"/>
  <c r="K28" i="1"/>
  <c r="G28" i="1"/>
  <c r="O27" i="1"/>
  <c r="L27" i="1"/>
  <c r="K27" i="1"/>
  <c r="G27" i="1"/>
  <c r="O26" i="1"/>
  <c r="L26" i="1"/>
  <c r="K26" i="1"/>
  <c r="G26" i="1"/>
  <c r="O25" i="1"/>
  <c r="L25" i="1"/>
  <c r="K25" i="1"/>
  <c r="G25" i="1"/>
  <c r="O24" i="1"/>
  <c r="L24" i="1"/>
  <c r="K24" i="1"/>
  <c r="G24" i="1"/>
  <c r="O23" i="1"/>
  <c r="L23" i="1"/>
  <c r="K23" i="1"/>
  <c r="G23" i="1"/>
  <c r="O22" i="1"/>
  <c r="L22" i="1"/>
  <c r="K22" i="1"/>
  <c r="G22" i="1"/>
  <c r="O21" i="1"/>
  <c r="L21" i="1"/>
  <c r="K21" i="1"/>
  <c r="G21" i="1"/>
  <c r="O20" i="1"/>
  <c r="L20" i="1"/>
  <c r="K20" i="1"/>
  <c r="O19" i="1"/>
  <c r="L19" i="1"/>
  <c r="K19" i="1"/>
  <c r="G19" i="1"/>
  <c r="O18" i="1"/>
  <c r="L18" i="1"/>
  <c r="K18" i="1"/>
  <c r="O17" i="1"/>
  <c r="L17" i="1"/>
  <c r="K17" i="1"/>
  <c r="O16" i="1"/>
  <c r="L16" i="1"/>
  <c r="K16" i="1"/>
  <c r="O15" i="1"/>
  <c r="L15" i="1"/>
  <c r="K15" i="1"/>
  <c r="G15" i="1"/>
  <c r="O14" i="1"/>
  <c r="L14" i="1"/>
  <c r="K14" i="1"/>
  <c r="G14" i="1"/>
  <c r="O13" i="1"/>
  <c r="L13" i="1"/>
  <c r="K13" i="1"/>
  <c r="G13" i="1"/>
  <c r="O12" i="1"/>
  <c r="L12" i="1"/>
  <c r="K12" i="1"/>
  <c r="G12" i="1"/>
  <c r="O11" i="1"/>
  <c r="L11" i="1"/>
  <c r="K11" i="1"/>
  <c r="G11" i="1"/>
  <c r="O10" i="1"/>
  <c r="L10" i="1"/>
  <c r="K10" i="1"/>
  <c r="G10" i="1"/>
  <c r="O9" i="1"/>
  <c r="L9" i="1"/>
  <c r="K9" i="1"/>
  <c r="G9" i="1"/>
  <c r="O8" i="1"/>
  <c r="L8" i="1"/>
  <c r="K8" i="1"/>
  <c r="G8" i="1"/>
  <c r="O7" i="1"/>
  <c r="L7" i="1"/>
  <c r="K7" i="1"/>
  <c r="G7" i="1"/>
  <c r="O6" i="1"/>
  <c r="L6" i="1"/>
  <c r="K6" i="1"/>
  <c r="G6" i="1"/>
  <c r="O5" i="1"/>
  <c r="L5" i="1"/>
  <c r="K5" i="1"/>
  <c r="G5" i="1"/>
  <c r="O4" i="1"/>
  <c r="L4" i="1"/>
  <c r="K4" i="1"/>
  <c r="G4" i="1"/>
  <c r="O3" i="1"/>
  <c r="L3" i="1"/>
  <c r="K3" i="1"/>
  <c r="G3" i="1"/>
</calcChain>
</file>

<file path=xl/sharedStrings.xml><?xml version="1.0" encoding="utf-8"?>
<sst xmlns="http://schemas.openxmlformats.org/spreadsheetml/2006/main" count="1448" uniqueCount="133">
  <si>
    <t>Campus</t>
  </si>
  <si>
    <t>Clasificación</t>
  </si>
  <si>
    <t>Nivel</t>
  </si>
  <si>
    <t>Modalidad</t>
  </si>
  <si>
    <t>Meta 26 antes DPV</t>
  </si>
  <si>
    <t>% D.P.V.</t>
  </si>
  <si>
    <t>Meta 26 Piso</t>
  </si>
  <si>
    <t>% Meta Dígital</t>
  </si>
  <si>
    <t>%Meta Vinculación</t>
  </si>
  <si>
    <t xml:space="preserve"> Meta Dígital</t>
  </si>
  <si>
    <t>Meta Vinculación</t>
  </si>
  <si>
    <t>Avance Dígital</t>
  </si>
  <si>
    <t>Avance Vinculación</t>
  </si>
  <si>
    <t>UO Coa.</t>
  </si>
  <si>
    <t>Top</t>
  </si>
  <si>
    <t>Licenciatura</t>
  </si>
  <si>
    <t>Esc.</t>
  </si>
  <si>
    <t>Enfermería</t>
  </si>
  <si>
    <t>Ejec</t>
  </si>
  <si>
    <t>Lenguas extranjeras</t>
  </si>
  <si>
    <t>Cosmetologia</t>
  </si>
  <si>
    <t>Fisioterapia</t>
  </si>
  <si>
    <t>Gastronomía</t>
  </si>
  <si>
    <t>Mntoo.</t>
  </si>
  <si>
    <t>Comercio Internacional</t>
  </si>
  <si>
    <t>Nutrición</t>
  </si>
  <si>
    <t>Pedagogia</t>
  </si>
  <si>
    <t>O.B. Sin Meta</t>
  </si>
  <si>
    <t>Podología</t>
  </si>
  <si>
    <t>Derecho</t>
  </si>
  <si>
    <t>Diseño Gráfico</t>
  </si>
  <si>
    <t>Posgrado</t>
  </si>
  <si>
    <t>Administración de los Servicios de la Salud</t>
  </si>
  <si>
    <t>Desarrollo Pedagógico</t>
  </si>
  <si>
    <t>Nueva Oferta</t>
  </si>
  <si>
    <t>Alta Dirección e Inteligencia de los Negocios (En línea / Virtual)</t>
  </si>
  <si>
    <t>Educación (Abierta / Distancia)</t>
  </si>
  <si>
    <t>Fisioterapia para el Manejo del Dolor</t>
  </si>
  <si>
    <t>UO Can.</t>
  </si>
  <si>
    <t>Psicología</t>
  </si>
  <si>
    <t xml:space="preserve">Arquitectura </t>
  </si>
  <si>
    <t>Animación Digital</t>
  </si>
  <si>
    <t>Finanzas y Contabilidad Dígital</t>
  </si>
  <si>
    <t>Ciencias Forenses</t>
  </si>
  <si>
    <t>Administración</t>
  </si>
  <si>
    <t>Comunicación</t>
  </si>
  <si>
    <t>Mercadotecnia y diseño publicitario</t>
  </si>
  <si>
    <t>M. En Desarrollo Pedagógico</t>
  </si>
  <si>
    <t>M. En Gerencia Empresarial</t>
  </si>
  <si>
    <t>M. Enseñanza del idioma inglés</t>
  </si>
  <si>
    <t>M. Administración De Los Servicios De Salud</t>
  </si>
  <si>
    <t>M. Dirección De Hoteles Y Restaurantes</t>
  </si>
  <si>
    <t>M. En Marketing Digital Y Ventas</t>
  </si>
  <si>
    <t>M. En Impuestos</t>
  </si>
  <si>
    <t>M. Gestión de  la calidad del talento humano</t>
  </si>
  <si>
    <t>M. Derecho Penal y Juicios Orales</t>
  </si>
  <si>
    <t>UO Ver.</t>
  </si>
  <si>
    <t>Contaduría Pública</t>
  </si>
  <si>
    <t>Gestion Empresarial</t>
  </si>
  <si>
    <t>Pedagogia Mix</t>
  </si>
  <si>
    <t>Diseño de la comunicación grafica Mix</t>
  </si>
  <si>
    <t>Arquitectura Interiores Esc</t>
  </si>
  <si>
    <t>Diseño grafico Esc</t>
  </si>
  <si>
    <t>Contabilidad Esc</t>
  </si>
  <si>
    <t>Sistemas computacionales Esc</t>
  </si>
  <si>
    <t>Mercadotecnia y diseño publicitario Esc</t>
  </si>
  <si>
    <t>Comunicación Esc</t>
  </si>
  <si>
    <t>Administracion de Empresas Turisticas Esc</t>
  </si>
  <si>
    <t>Administracion de Negocios de la Hospitalidad Esc</t>
  </si>
  <si>
    <t>Desarrollo pedagógico</t>
  </si>
  <si>
    <t>Fisioterapia para el manejo del dolor</t>
  </si>
  <si>
    <t>Gerencia Empresarial</t>
  </si>
  <si>
    <t>Mercadotecnia Digital y Ventas</t>
  </si>
  <si>
    <t>Educación</t>
  </si>
  <si>
    <t>Derecho Penal y Juicios Orales</t>
  </si>
  <si>
    <t>Administración de PYMES</t>
  </si>
  <si>
    <t>UO Pzr.</t>
  </si>
  <si>
    <t>Ingeniería Industrial</t>
  </si>
  <si>
    <t>Administración de Negocios</t>
  </si>
  <si>
    <t>Administración de empresas turísticas</t>
  </si>
  <si>
    <t>Ingenieria en sistemas computacionales</t>
  </si>
  <si>
    <t>Inteligencia de negocios</t>
  </si>
  <si>
    <t xml:space="preserve">Desarrollo Pedagógico </t>
  </si>
  <si>
    <t>UO Pue.</t>
  </si>
  <si>
    <t>Estomatología</t>
  </si>
  <si>
    <t>Animación digital</t>
  </si>
  <si>
    <t>Gestión empresarial y Finanzas</t>
  </si>
  <si>
    <t>Gestión y Alta Dirección de Negocios</t>
  </si>
  <si>
    <t>Administración en Servicios de la Salud</t>
  </si>
  <si>
    <t>Impuestos</t>
  </si>
  <si>
    <t>Doctorado en Administración</t>
  </si>
  <si>
    <t>Tecnología y Educación a Distancia</t>
  </si>
  <si>
    <t>Especialidad en ortodoncia y ortopedia maxilofacial</t>
  </si>
  <si>
    <t>CSA Pue.</t>
  </si>
  <si>
    <t>Preescolar</t>
  </si>
  <si>
    <t>Primaria</t>
  </si>
  <si>
    <t>Secundaria</t>
  </si>
  <si>
    <t>Bachillerato</t>
  </si>
  <si>
    <t>CSA Coa.</t>
  </si>
  <si>
    <t>CSA Pzr.</t>
  </si>
  <si>
    <t>IADEU</t>
  </si>
  <si>
    <t>Arquitectura</t>
  </si>
  <si>
    <t>QFB</t>
  </si>
  <si>
    <t xml:space="preserve">Comercio internacional </t>
  </si>
  <si>
    <t>Administración de empresas</t>
  </si>
  <si>
    <t>Criminología</t>
  </si>
  <si>
    <t>Mes</t>
  </si>
  <si>
    <t xml:space="preserve">Meta Gral. </t>
  </si>
  <si>
    <t>Avance</t>
  </si>
  <si>
    <t>Pendiente</t>
  </si>
  <si>
    <t>% Avance</t>
  </si>
  <si>
    <t>Enero</t>
  </si>
  <si>
    <t>CSA Coa</t>
  </si>
  <si>
    <t>Bachiller</t>
  </si>
  <si>
    <t>CSA Pzr</t>
  </si>
  <si>
    <t>CSA Pue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</si>
  <si>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</si>
  <si>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</si>
  <si>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</si>
  <si>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</si>
  <si>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</si>
  <si>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</si>
  <si>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</si>
  <si>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</si>
  <si>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UO Pzr</t>
  </si>
  <si>
    <t>UO Coa</t>
  </si>
  <si>
    <t>UO Ver</t>
  </si>
  <si>
    <t>UO Can</t>
  </si>
  <si>
    <t>UO Pue</t>
  </si>
  <si>
    <t>General</t>
  </si>
  <si>
    <t>Meta Reinscripción</t>
  </si>
  <si>
    <t>Programa Académico</t>
  </si>
  <si>
    <t>Avance meta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</si>
</sst>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0"/>
      <color theme="1"/>
      <name val="Ebrima"/>
      <family val="2"/>
    </font>
    <font>
      <sz val="11"/>
      <color theme="1"/>
      <name val="Calibri"/>
      <family val="2"/>
      <scheme val="minor"/>
    </font>
    <font>
      <sz val="10"/>
      <color theme="1"/>
      <name val="Ebrima"/>
      <family val="2"/>
    </font>
    <font>
      <b/>
      <sz val="10"/>
      <color theme="0"/>
      <name val="Ebrima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0" xfId="0" applyFill="1" applyAlignment="1">
      <alignment horizontal="center" vertical="center" wrapText="1"/>
    </xf>
    <xf numFmtId="164" fontId="0" fillId="2" borderId="0" xfId="1" applyNumberFormat="1" applyFont="1" applyFill="1" applyAlignment="1">
      <alignment horizontal="center" vertical="center" wrapText="1"/>
    </xf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164" fontId="0" fillId="0" borderId="0" xfId="1" applyNumberFormat="1" applyFont="1"/>
    <xf numFmtId="9" fontId="0" fillId="0" borderId="0" xfId="2" applyFont="1"/>
    <xf numFmtId="164" fontId="0" fillId="0" borderId="0" xfId="1" applyNumberFormat="1" applyFont="1" applyFill="1"/>
    <xf numFmtId="9" fontId="0" fillId="0" borderId="0" xfId="0" applyNumberFormat="1"/>
    <xf numFmtId="1" fontId="0" fillId="0" borderId="0" xfId="0" applyNumberFormat="1"/>
    <xf numFmtId="0" fontId="0" fillId="3" borderId="0" xfId="0" applyFill="1"/>
    <xf numFmtId="0" fontId="0" fillId="0" borderId="1" xfId="0" applyFont="1" applyBorder="1"/>
    <xf numFmtId="0" fontId="0" fillId="0" borderId="2" xfId="0" applyFont="1" applyBorder="1"/>
    <xf numFmtId="0" fontId="1" fillId="0" borderId="0" xfId="3" applyAlignment="1">
      <alignment horizontal="center" vertical="center" wrapText="1"/>
    </xf>
    <xf numFmtId="0" fontId="1" fillId="0" borderId="0" xfId="3"/>
    <xf numFmtId="9" fontId="0" fillId="0" borderId="0" xfId="4" applyFont="1"/>
    <xf numFmtId="9" fontId="0" fillId="0" borderId="0" xfId="2" applyNumberFormat="1" applyFont="1"/>
    <xf numFmtId="0" fontId="3" fillId="2" borderId="0" xfId="0" applyFont="1" applyFill="1" applyBorder="1" applyAlignment="1">
      <alignment horizontal="center" vertical="center" wrapText="1"/>
    </xf>
    <xf numFmtId="0" fontId="0" fillId="0" borderId="0" xfId="0" applyFont="1" applyBorder="1"/>
    <xf numFmtId="9" fontId="0" fillId="0" borderId="0" xfId="2" applyFont="1" applyBorder="1"/>
  </cellXfs>
  <cellStyles count="5">
    <cellStyle name="Millares" xfId="1" builtinId="3"/>
    <cellStyle name="Normal" xfId="0" builtinId="0"/>
    <cellStyle name="Normal 2" xfId="3" xr:uid="{38E1163E-61D9-42F5-99F8-5C62DBFFF4F9}"/>
    <cellStyle name="Porcentaje" xfId="2" builtinId="5"/>
    <cellStyle name="Porcentaje 2" xfId="4" xr:uid="{CF78AC6F-6052-443B-BEC0-0979A16E965D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bri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brima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Ebrima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bri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brima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brima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brima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brima"/>
        <family val="2"/>
        <scheme val="none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Ebrima"/>
        <family val="2"/>
        <scheme val="none"/>
      </font>
      <numFmt numFmtId="13" formatCode="0%"/>
    </dxf>
    <dxf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504825</xdr:colOff>
      <xdr:row>2</xdr:row>
      <xdr:rowOff>123825</xdr:rowOff>
    </xdr:from>
    <xdr:to>
      <xdr:col>12</xdr:col>
      <xdr:colOff>47625</xdr:colOff>
      <xdr:row>11</xdr:row>
      <xdr:rowOff>171450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Campus">
              <a:extLst>
                <a:ext uri="{FF2B5EF4-FFF2-40B4-BE49-F238E27FC236}">
                  <a16:creationId xmlns:a16="http://schemas.microsoft.com/office/drawing/2014/main" id="{C88A794C-A8E1-4D47-B2DF-6F3124AAEC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mp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19925" y="504825"/>
              <a:ext cx="1828800" cy="1762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76200</xdr:colOff>
      <xdr:row>2</xdr:row>
      <xdr:rowOff>123826</xdr:rowOff>
    </xdr:from>
    <xdr:to>
      <xdr:col>13</xdr:col>
      <xdr:colOff>733426</xdr:colOff>
      <xdr:row>11</xdr:row>
      <xdr:rowOff>180976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Mes">
              <a:extLst>
                <a:ext uri="{FF2B5EF4-FFF2-40B4-BE49-F238E27FC236}">
                  <a16:creationId xmlns:a16="http://schemas.microsoft.com/office/drawing/2014/main" id="{2C38815C-A796-4405-A1C8-625650FE95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77300" y="504826"/>
              <a:ext cx="1419226" cy="1771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mpus" xr10:uid="{095882FB-27E7-480B-8F6B-19DB701D4277}" sourceName="Campus">
  <extLst>
    <x:ext xmlns:x15="http://schemas.microsoft.com/office/spreadsheetml/2010/11/main" uri="{2F2917AC-EB37-4324-AD4E-5DD8C200BD13}">
      <x15:tableSlicerCache tableId="2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FC96B142-AB87-4978-8EE1-30B0C3312C9E}" sourceName="Mes">
  <extLst>
    <x:ext xmlns:x15="http://schemas.microsoft.com/office/spreadsheetml/2010/11/main" uri="{2F2917AC-EB37-4324-AD4E-5DD8C200BD13}">
      <x15:tableSlicerCache tableId="2" column="7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mpus" xr10:uid="{67CA1A52-6CDC-4368-AC4C-6B8CE007B298}" cache="SegmentaciónDeDatos_Campus" caption="Campus" columnCount="2" rowHeight="241300"/>
  <slicer name="Mes" xr10:uid="{D3F98B94-874B-4A68-B428-077089EFB07A}" cache="SegmentaciónDeDatos_Mes" caption="Mes" columnCount="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4B1C39-ABA2-4EAF-9E03-3835A0D58F96}" name="Tabla13" displayName="Tabla13" ref="A2:O171" totalsRowShown="0" headerRowDxfId="17">
  <autoFilter ref="A2:O171" xr:uid="{957892A3-79C6-4DEB-91DC-4D974C3465F9}"/>
  <tableColumns count="15">
    <tableColumn id="1" xr3:uid="{54610105-AE23-42B2-BA32-24F026D8FC74}" name="Campus"/>
    <tableColumn id="2" xr3:uid="{7828EDB5-16C2-45DC-849B-B0FCA3674D21}" name="Clasificación"/>
    <tableColumn id="3" xr3:uid="{E42CA8C0-6330-4671-9F35-4AF73A1B6F72}" name="Nivel"/>
    <tableColumn id="29" xr3:uid="{5299C734-CB67-49DE-9FA8-E02E43F2A66B}" name="Modalidad"/>
    <tableColumn id="4" xr3:uid="{A86D8A45-FCB0-4C00-BC63-4858C1D3B106}" name="Programa Académico"/>
    <tableColumn id="25" xr3:uid="{1B4CA6E1-7330-4153-9AE2-9D6D6A83CA71}" name="Meta 26 antes DPV"/>
    <tableColumn id="10" xr3:uid="{02C71E61-7991-4D00-9859-8860D6859069}" name="% D.P.V." dataDxfId="16" dataCellStyle="Porcentaje">
      <calculatedColumnFormula>IF(Tabla13[[#This Row],[Meta 26 antes DPV]]=0,"",(Tabla13[[#This Row],[Meta 26 antes DPV]]-Tabla13[[#This Row],[Meta 26 Piso]])/Tabla13[[#This Row],[Meta 26 antes DPV]])</calculatedColumnFormula>
    </tableColumn>
    <tableColumn id="11" xr3:uid="{8C182D27-D121-4437-8876-DE2376261BB1}" name="Meta 26 Piso" dataDxfId="15" dataCellStyle="Millares"/>
    <tableColumn id="18" xr3:uid="{1CE46ABD-18ED-421C-94F6-58D088E40A5C}" name="% Meta Dígital" dataDxfId="14"/>
    <tableColumn id="19" xr3:uid="{947692A2-BDE6-400A-A37D-0F182925E9DD}" name="%Meta Vinculación" dataDxfId="13"/>
    <tableColumn id="20" xr3:uid="{DE0BF530-FA1A-4770-A208-35FA79E4D130}" name=" Meta Dígital" dataDxfId="12">
      <calculatedColumnFormula>IFERROR($H3*I3,"")</calculatedColumnFormula>
    </tableColumn>
    <tableColumn id="21" xr3:uid="{CD109766-CF5E-4474-82F2-CCE9E64188D5}" name="Meta Vinculación" dataDxfId="11">
      <calculatedColumnFormula>IFERROR($H3*J3,"")</calculatedColumnFormula>
    </tableColumn>
    <tableColumn id="6" xr3:uid="{5B7E7030-2970-40D2-ADCF-2D2361540A20}" name="Avance Dígital" dataDxfId="10">
      <calculatedColumnFormula>+Tabla13[[#This Row],[Avance meta general]]*$Q$2</calculatedColumnFormula>
    </tableColumn>
    <tableColumn id="5" xr3:uid="{56ED5696-E831-4CF3-B1A9-D7E70B0E978F}" name="Avance Vinculación" dataDxfId="9">
      <calculatedColumnFormula>+Tabla13[[#This Row],[Avance meta general]]*$R$2</calculatedColumnFormula>
    </tableColumn>
    <tableColumn id="22" xr3:uid="{AC159FA0-1642-4AD0-8806-47CF1D55375D}" name="Avance meta general" dataDxfId="8">
      <calculatedColumnFormula>+IF(Tabla13[[#This Row],[Meta 26 Piso]]="","",Tabla13[[#This Row],[Meta 26 Piso]]*0.75)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21166E-0976-427B-88EC-F3C27C3BB9C2}" name="Tabla3" displayName="Tabla3" ref="A1:E15" totalsRowShown="0" headerRowDxfId="2" dataDxfId="3" tableBorderDxfId="7">
  <autoFilter ref="A1:E15" xr:uid="{0321166E-0976-427B-88EC-F3C27C3BB9C2}"/>
  <tableColumns count="5">
    <tableColumn id="1" xr3:uid="{160216CF-D922-4D3C-B190-8CE5F317044F}" name="Campus" dataDxfId="6"/>
    <tableColumn id="3" xr3:uid="{0128396B-0949-4AAD-8964-FADB38FD6483}" name="Nivel" dataDxfId="5"/>
    <tableColumn id="4" xr3:uid="{9DFFDF5A-D39A-4903-BDAC-ECE18566D096}" name="Meta Reinscripción" dataDxfId="4"/>
    <tableColumn id="5" xr3:uid="{6A671545-F3F2-4D12-8944-F69074404E55}" name="Avance" dataDxfId="1"/>
    <tableColumn id="6" xr3:uid="{77E4D0EC-5201-4227-A9AD-07DBCBE4CE57}" name="% Avance" dataDxfId="0" dataCellStyle="Porcentaje">
      <calculatedColumnFormula>+Tabla3[[#This Row],[Avance]]/Tabla3[[#This Row],[Meta Reinscripción]]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40F0CC-5CF5-4A57-9853-5F2236A1D377}" name="Tabla2" displayName="Tabla2" ref="A1:G199" totalsRowShown="0" headerRowDxfId="19">
  <autoFilter ref="A1:G199" xr:uid="{E9A7F1A5-8511-4EB8-AC10-B9F8428C1C71}"/>
  <tableColumns count="7">
    <tableColumn id="1" xr3:uid="{A84296B8-4E2A-4093-A3B2-D6064A300798}" name="Campus"/>
    <tableColumn id="2" xr3:uid="{C73DB0DE-70BA-4493-BBAD-584EF14A05DD}" name="Nivel"/>
    <tableColumn id="7" xr3:uid="{988E8638-6B41-4283-A77D-133A235DF878}" name="Mes"/>
    <tableColumn id="3" xr3:uid="{EC3082D7-707D-42DA-8D8B-EF3C09CB12EF}" name="Meta Gral. "/>
    <tableColumn id="4" xr3:uid="{9FEDE3C7-48EB-4295-B048-67BD213AE16E}" name="Avance"/>
    <tableColumn id="5" xr3:uid="{EFE11E3E-16A5-4526-A8F0-17F9F837DF6F}" name="Pendiente">
      <calculatedColumnFormula>+D2-E2</calculatedColumnFormula>
    </tableColumn>
    <tableColumn id="6" xr3:uid="{E7F5988A-F8AE-452D-9AFC-D2CD0286DD4D}" name="% Avance" dataDxfId="18" dataCellStyle="Porcentaje">
      <calculatedColumnFormula>IFERROR(E2/D2,"")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771B-4AFD-43CD-B8B3-D0F25B315CF8}">
  <dimension ref="A2:R1048437"/>
  <sheetViews>
    <sheetView showGridLines="0" topLeftCell="A2" zoomScale="93" zoomScaleNormal="115" workbookViewId="0">
      <pane ySplit="1" topLeftCell="A3" activePane="bottomLeft" state="frozen"/>
      <selection activeCell="A2" sqref="A2"/>
      <selection pane="bottomLeft" activeCell="O2" sqref="O2"/>
    </sheetView>
  </sheetViews>
  <sheetFormatPr baseColWidth="10" defaultRowHeight="14.25" x14ac:dyDescent="0.25"/>
  <cols>
    <col min="1" max="1" width="7.42578125" customWidth="1"/>
    <col min="2" max="2" width="13.140625" customWidth="1"/>
    <col min="5" max="5" width="31" customWidth="1"/>
    <col min="6" max="6" width="7.85546875" style="5" customWidth="1"/>
    <col min="7" max="7" width="8.28515625" customWidth="1"/>
    <col min="8" max="8" width="7.140625" customWidth="1"/>
    <col min="9" max="9" width="9.85546875" customWidth="1"/>
    <col min="10" max="10" width="12" customWidth="1"/>
    <col min="11" max="11" width="8.85546875" customWidth="1"/>
    <col min="12" max="14" width="11.42578125" customWidth="1"/>
    <col min="15" max="15" width="9.7109375" customWidth="1"/>
  </cols>
  <sheetData>
    <row r="2" spans="1:18" s="3" customFormat="1" ht="5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131</v>
      </c>
      <c r="F2" s="2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132</v>
      </c>
      <c r="Q2" s="4">
        <v>0.6</v>
      </c>
      <c r="R2" s="4">
        <v>0.4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s="5">
        <v>96</v>
      </c>
      <c r="G3" s="6">
        <f>IF(Tabla13[[#This Row],[Meta 26 antes DPV]]=0,"",(Tabla13[[#This Row],[Meta 26 antes DPV]]-Tabla13[[#This Row],[Meta 26 Piso]])/Tabla13[[#This Row],[Meta 26 antes DPV]])</f>
        <v>0.125</v>
      </c>
      <c r="H3" s="7">
        <v>84</v>
      </c>
      <c r="I3" s="8">
        <v>0.3</v>
      </c>
      <c r="J3" s="8">
        <v>0.7</v>
      </c>
      <c r="K3" s="9">
        <f>IFERROR($H3*I3,"")</f>
        <v>25.2</v>
      </c>
      <c r="L3" s="9">
        <f>IFERROR($H3*J3,"")</f>
        <v>58.8</v>
      </c>
      <c r="M3" s="9">
        <v>7</v>
      </c>
      <c r="N3" s="9">
        <v>4</v>
      </c>
      <c r="O3" s="9">
        <f>+Tabla13[[#This Row],[Avance Dígital]]+Tabla13[[#This Row],[Avance Vinculación]]</f>
        <v>11</v>
      </c>
    </row>
    <row r="4" spans="1:18" x14ac:dyDescent="0.25">
      <c r="A4" t="s">
        <v>13</v>
      </c>
      <c r="B4" t="s">
        <v>14</v>
      </c>
      <c r="C4" t="s">
        <v>15</v>
      </c>
      <c r="D4" t="s">
        <v>18</v>
      </c>
      <c r="E4" t="s">
        <v>17</v>
      </c>
      <c r="F4" s="5">
        <v>63</v>
      </c>
      <c r="G4" s="6">
        <f>IF(Tabla13[[#This Row],[Meta 26 antes DPV]]=0,"",(Tabla13[[#This Row],[Meta 26 antes DPV]]-Tabla13[[#This Row],[Meta 26 Piso]])/Tabla13[[#This Row],[Meta 26 antes DPV]])</f>
        <v>0.20634920634920634</v>
      </c>
      <c r="H4" s="7">
        <v>50</v>
      </c>
      <c r="I4" s="8">
        <v>0.3</v>
      </c>
      <c r="J4" s="8">
        <v>0.7</v>
      </c>
      <c r="K4" s="9">
        <f t="shared" ref="K4:L67" si="0">IFERROR($H4*I4,"")</f>
        <v>15</v>
      </c>
      <c r="L4" s="9">
        <f t="shared" si="0"/>
        <v>35</v>
      </c>
      <c r="M4" s="9">
        <v>9</v>
      </c>
      <c r="N4" s="9">
        <v>3</v>
      </c>
      <c r="O4" s="9">
        <f>+Tabla13[[#This Row],[Avance Dígital]]+Tabla13[[#This Row],[Avance Vinculación]]</f>
        <v>12</v>
      </c>
    </row>
    <row r="5" spans="1:18" x14ac:dyDescent="0.25">
      <c r="A5" t="s">
        <v>13</v>
      </c>
      <c r="B5" t="s">
        <v>14</v>
      </c>
      <c r="C5" t="s">
        <v>15</v>
      </c>
      <c r="D5" t="s">
        <v>16</v>
      </c>
      <c r="E5" t="s">
        <v>19</v>
      </c>
      <c r="F5" s="5">
        <v>37</v>
      </c>
      <c r="G5" s="6">
        <f>IF(Tabla13[[#This Row],[Meta 26 antes DPV]]=0,"",(Tabla13[[#This Row],[Meta 26 antes DPV]]-Tabla13[[#This Row],[Meta 26 Piso]])/Tabla13[[#This Row],[Meta 26 antes DPV]])</f>
        <v>0.1891891891891892</v>
      </c>
      <c r="H5" s="7">
        <v>30</v>
      </c>
      <c r="I5" s="8">
        <v>0.3</v>
      </c>
      <c r="J5" s="8">
        <v>0.7</v>
      </c>
      <c r="K5" s="9">
        <f t="shared" si="0"/>
        <v>9</v>
      </c>
      <c r="L5" s="9">
        <f t="shared" si="0"/>
        <v>21</v>
      </c>
      <c r="M5" s="9">
        <v>9</v>
      </c>
      <c r="N5" s="9">
        <v>6</v>
      </c>
      <c r="O5" s="9">
        <f>+Tabla13[[#This Row],[Avance Dígital]]+Tabla13[[#This Row],[Avance Vinculación]]</f>
        <v>15</v>
      </c>
    </row>
    <row r="6" spans="1:18" x14ac:dyDescent="0.25">
      <c r="A6" t="s">
        <v>13</v>
      </c>
      <c r="B6" t="s">
        <v>14</v>
      </c>
      <c r="C6" t="s">
        <v>15</v>
      </c>
      <c r="D6" t="s">
        <v>18</v>
      </c>
      <c r="E6" t="s">
        <v>19</v>
      </c>
      <c r="F6" s="5">
        <v>25</v>
      </c>
      <c r="G6" s="6">
        <f>IF(Tabla13[[#This Row],[Meta 26 antes DPV]]=0,"",(Tabla13[[#This Row],[Meta 26 antes DPV]]-Tabla13[[#This Row],[Meta 26 Piso]])/Tabla13[[#This Row],[Meta 26 antes DPV]])</f>
        <v>0.12</v>
      </c>
      <c r="H6" s="7">
        <v>22</v>
      </c>
      <c r="I6" s="8">
        <v>0.3</v>
      </c>
      <c r="J6" s="8">
        <v>0.7</v>
      </c>
      <c r="K6" s="9">
        <f t="shared" si="0"/>
        <v>6.6</v>
      </c>
      <c r="L6" s="9">
        <f t="shared" si="0"/>
        <v>15.399999999999999</v>
      </c>
      <c r="M6" s="9">
        <v>1</v>
      </c>
      <c r="N6" s="9">
        <v>0</v>
      </c>
      <c r="O6" s="9">
        <f>+Tabla13[[#This Row],[Avance Dígital]]+Tabla13[[#This Row],[Avance Vinculación]]</f>
        <v>1</v>
      </c>
    </row>
    <row r="7" spans="1:18" x14ac:dyDescent="0.25">
      <c r="A7" t="s">
        <v>13</v>
      </c>
      <c r="B7" t="s">
        <v>14</v>
      </c>
      <c r="C7" t="s">
        <v>15</v>
      </c>
      <c r="D7" t="s">
        <v>16</v>
      </c>
      <c r="E7" t="s">
        <v>20</v>
      </c>
      <c r="F7" s="5">
        <v>65</v>
      </c>
      <c r="G7" s="6">
        <f>IF(Tabla13[[#This Row],[Meta 26 antes DPV]]=0,"",(Tabla13[[#This Row],[Meta 26 antes DPV]]-Tabla13[[#This Row],[Meta 26 Piso]])/Tabla13[[#This Row],[Meta 26 antes DPV]])</f>
        <v>0.13846153846153847</v>
      </c>
      <c r="H7" s="7">
        <v>56</v>
      </c>
      <c r="I7" s="8">
        <v>0.3</v>
      </c>
      <c r="J7" s="8">
        <v>0.7</v>
      </c>
      <c r="K7" s="9">
        <f t="shared" si="0"/>
        <v>16.8</v>
      </c>
      <c r="L7" s="9">
        <f t="shared" si="0"/>
        <v>39.199999999999996</v>
      </c>
      <c r="M7" s="9">
        <v>24</v>
      </c>
      <c r="N7" s="9">
        <v>17</v>
      </c>
      <c r="O7" s="9">
        <f>+Tabla13[[#This Row],[Avance Dígital]]+Tabla13[[#This Row],[Avance Vinculación]]</f>
        <v>41</v>
      </c>
    </row>
    <row r="8" spans="1:18" x14ac:dyDescent="0.25">
      <c r="A8" t="s">
        <v>13</v>
      </c>
      <c r="B8" t="s">
        <v>14</v>
      </c>
      <c r="C8" t="s">
        <v>15</v>
      </c>
      <c r="D8" t="s">
        <v>18</v>
      </c>
      <c r="E8" t="s">
        <v>20</v>
      </c>
      <c r="F8" s="5">
        <v>32</v>
      </c>
      <c r="G8" s="6">
        <f>IF(Tabla13[[#This Row],[Meta 26 antes DPV]]=0,"",(Tabla13[[#This Row],[Meta 26 antes DPV]]-Tabla13[[#This Row],[Meta 26 Piso]])/Tabla13[[#This Row],[Meta 26 antes DPV]])</f>
        <v>0.125</v>
      </c>
      <c r="H8">
        <v>28</v>
      </c>
      <c r="I8" s="8">
        <v>0.3</v>
      </c>
      <c r="J8" s="8">
        <v>0.7</v>
      </c>
      <c r="K8" s="9">
        <f t="shared" si="0"/>
        <v>8.4</v>
      </c>
      <c r="L8" s="9">
        <f t="shared" si="0"/>
        <v>19.599999999999998</v>
      </c>
      <c r="M8" s="9">
        <v>12</v>
      </c>
      <c r="N8" s="9">
        <v>7</v>
      </c>
      <c r="O8" s="9">
        <f>+Tabla13[[#This Row],[Avance Dígital]]+Tabla13[[#This Row],[Avance Vinculación]]</f>
        <v>19</v>
      </c>
    </row>
    <row r="9" spans="1:18" x14ac:dyDescent="0.25">
      <c r="A9" t="s">
        <v>13</v>
      </c>
      <c r="B9" t="s">
        <v>14</v>
      </c>
      <c r="C9" t="s">
        <v>15</v>
      </c>
      <c r="D9" t="s">
        <v>16</v>
      </c>
      <c r="E9" t="s">
        <v>21</v>
      </c>
      <c r="F9" s="5">
        <v>36</v>
      </c>
      <c r="G9" s="6">
        <f>IF(Tabla13[[#This Row],[Meta 26 antes DPV]]=0,"",(Tabla13[[#This Row],[Meta 26 antes DPV]]-Tabla13[[#This Row],[Meta 26 Piso]])/Tabla13[[#This Row],[Meta 26 antes DPV]])</f>
        <v>0.1111111111111111</v>
      </c>
      <c r="H9" s="7">
        <v>32</v>
      </c>
      <c r="I9" s="8">
        <v>0.3</v>
      </c>
      <c r="J9" s="8">
        <v>0.7</v>
      </c>
      <c r="K9" s="9">
        <f t="shared" si="0"/>
        <v>9.6</v>
      </c>
      <c r="L9" s="9">
        <f t="shared" si="0"/>
        <v>22.4</v>
      </c>
      <c r="M9" s="9">
        <v>4</v>
      </c>
      <c r="N9" s="9">
        <v>9</v>
      </c>
      <c r="O9" s="9">
        <f>+Tabla13[[#This Row],[Avance Dígital]]+Tabla13[[#This Row],[Avance Vinculación]]</f>
        <v>13</v>
      </c>
    </row>
    <row r="10" spans="1:18" x14ac:dyDescent="0.25">
      <c r="A10" t="s">
        <v>13</v>
      </c>
      <c r="B10" t="s">
        <v>14</v>
      </c>
      <c r="C10" t="s">
        <v>15</v>
      </c>
      <c r="D10" t="s">
        <v>18</v>
      </c>
      <c r="E10" t="s">
        <v>21</v>
      </c>
      <c r="F10" s="5">
        <v>22</v>
      </c>
      <c r="G10" s="6">
        <f>IF(Tabla13[[#This Row],[Meta 26 antes DPV]]=0,"",(Tabla13[[#This Row],[Meta 26 antes DPV]]-Tabla13[[#This Row],[Meta 26 Piso]])/Tabla13[[#This Row],[Meta 26 antes DPV]])</f>
        <v>9.0909090909090912E-2</v>
      </c>
      <c r="H10" s="7">
        <v>20</v>
      </c>
      <c r="I10" s="8">
        <v>0.3</v>
      </c>
      <c r="J10" s="8">
        <v>0.7</v>
      </c>
      <c r="K10" s="9">
        <f t="shared" si="0"/>
        <v>6</v>
      </c>
      <c r="L10" s="9">
        <f t="shared" si="0"/>
        <v>14</v>
      </c>
      <c r="M10" s="9">
        <v>9</v>
      </c>
      <c r="N10" s="9">
        <v>7</v>
      </c>
      <c r="O10" s="9">
        <f>+Tabla13[[#This Row],[Avance Dígital]]+Tabla13[[#This Row],[Avance Vinculación]]</f>
        <v>16</v>
      </c>
    </row>
    <row r="11" spans="1:18" x14ac:dyDescent="0.25">
      <c r="A11" t="s">
        <v>13</v>
      </c>
      <c r="B11" t="s">
        <v>14</v>
      </c>
      <c r="C11" t="s">
        <v>15</v>
      </c>
      <c r="D11" t="s">
        <v>16</v>
      </c>
      <c r="E11" t="s">
        <v>22</v>
      </c>
      <c r="F11" s="5">
        <v>36</v>
      </c>
      <c r="G11" s="6">
        <f>IF(Tabla13[[#This Row],[Meta 26 antes DPV]]=0,"",(Tabla13[[#This Row],[Meta 26 antes DPV]]-Tabla13[[#This Row],[Meta 26 Piso]])/Tabla13[[#This Row],[Meta 26 antes DPV]])</f>
        <v>0.16666666666666666</v>
      </c>
      <c r="H11" s="7">
        <v>30</v>
      </c>
      <c r="I11" s="8">
        <v>0.3</v>
      </c>
      <c r="J11" s="8">
        <v>0.7</v>
      </c>
      <c r="K11" s="9">
        <f t="shared" si="0"/>
        <v>9</v>
      </c>
      <c r="L11" s="9">
        <f t="shared" si="0"/>
        <v>21</v>
      </c>
      <c r="M11" s="9">
        <v>12</v>
      </c>
      <c r="N11" s="9">
        <v>3</v>
      </c>
      <c r="O11" s="9">
        <f>+Tabla13[[#This Row],[Avance Dígital]]+Tabla13[[#This Row],[Avance Vinculación]]</f>
        <v>15</v>
      </c>
    </row>
    <row r="12" spans="1:18" x14ac:dyDescent="0.25">
      <c r="A12" t="s">
        <v>13</v>
      </c>
      <c r="B12" t="s">
        <v>14</v>
      </c>
      <c r="C12" t="s">
        <v>15</v>
      </c>
      <c r="D12" t="s">
        <v>18</v>
      </c>
      <c r="E12" t="s">
        <v>22</v>
      </c>
      <c r="F12" s="5">
        <v>22</v>
      </c>
      <c r="G12" s="6">
        <f>IF(Tabla13[[#This Row],[Meta 26 antes DPV]]=0,"",(Tabla13[[#This Row],[Meta 26 antes DPV]]-Tabla13[[#This Row],[Meta 26 Piso]])/Tabla13[[#This Row],[Meta 26 antes DPV]])</f>
        <v>0.18181818181818182</v>
      </c>
      <c r="H12" s="7">
        <v>18</v>
      </c>
      <c r="I12" s="8">
        <v>0.3</v>
      </c>
      <c r="J12" s="8">
        <v>0.7</v>
      </c>
      <c r="K12" s="9">
        <f t="shared" si="0"/>
        <v>5.3999999999999995</v>
      </c>
      <c r="L12" s="9">
        <f t="shared" si="0"/>
        <v>12.6</v>
      </c>
      <c r="M12" s="9">
        <v>5</v>
      </c>
      <c r="N12" s="9">
        <v>1</v>
      </c>
      <c r="O12" s="9">
        <f>+Tabla13[[#This Row],[Avance Dígital]]+Tabla13[[#This Row],[Avance Vinculación]]</f>
        <v>6</v>
      </c>
    </row>
    <row r="13" spans="1:18" x14ac:dyDescent="0.25">
      <c r="A13" t="s">
        <v>13</v>
      </c>
      <c r="B13" t="s">
        <v>23</v>
      </c>
      <c r="C13" t="s">
        <v>15</v>
      </c>
      <c r="D13" t="s">
        <v>16</v>
      </c>
      <c r="E13" t="s">
        <v>24</v>
      </c>
      <c r="F13" s="5">
        <v>58</v>
      </c>
      <c r="G13" s="6">
        <f>IF(Tabla13[[#This Row],[Meta 26 antes DPV]]=0,"",(Tabla13[[#This Row],[Meta 26 antes DPV]]-Tabla13[[#This Row],[Meta 26 Piso]])/Tabla13[[#This Row],[Meta 26 antes DPV]])</f>
        <v>0.13793103448275862</v>
      </c>
      <c r="H13" s="7">
        <v>50</v>
      </c>
      <c r="I13" s="8">
        <v>0.3</v>
      </c>
      <c r="J13" s="8">
        <v>0.7</v>
      </c>
      <c r="K13" s="9">
        <f t="shared" si="0"/>
        <v>15</v>
      </c>
      <c r="L13" s="9">
        <f t="shared" si="0"/>
        <v>35</v>
      </c>
      <c r="M13" s="9">
        <v>8</v>
      </c>
      <c r="N13" s="9">
        <v>11</v>
      </c>
      <c r="O13" s="9">
        <f>+Tabla13[[#This Row],[Avance Dígital]]+Tabla13[[#This Row],[Avance Vinculación]]</f>
        <v>19</v>
      </c>
    </row>
    <row r="14" spans="1:18" x14ac:dyDescent="0.25">
      <c r="A14" t="s">
        <v>13</v>
      </c>
      <c r="B14" t="s">
        <v>23</v>
      </c>
      <c r="C14" t="s">
        <v>15</v>
      </c>
      <c r="D14" t="s">
        <v>16</v>
      </c>
      <c r="E14" t="s">
        <v>25</v>
      </c>
      <c r="F14" s="5">
        <v>21</v>
      </c>
      <c r="G14" s="6">
        <f>IF(Tabla13[[#This Row],[Meta 26 antes DPV]]=0,"",(Tabla13[[#This Row],[Meta 26 antes DPV]]-Tabla13[[#This Row],[Meta 26 Piso]])/Tabla13[[#This Row],[Meta 26 antes DPV]])</f>
        <v>0.14285714285714285</v>
      </c>
      <c r="H14" s="7">
        <v>18</v>
      </c>
      <c r="I14" s="8">
        <v>0.3</v>
      </c>
      <c r="J14" s="8">
        <v>0.7</v>
      </c>
      <c r="K14" s="9">
        <f t="shared" si="0"/>
        <v>5.3999999999999995</v>
      </c>
      <c r="L14" s="9">
        <f t="shared" si="0"/>
        <v>12.6</v>
      </c>
      <c r="M14" s="9">
        <v>2</v>
      </c>
      <c r="N14" s="9">
        <v>6</v>
      </c>
      <c r="O14" s="9">
        <f>+Tabla13[[#This Row],[Avance Dígital]]+Tabla13[[#This Row],[Avance Vinculación]]</f>
        <v>8</v>
      </c>
    </row>
    <row r="15" spans="1:18" x14ac:dyDescent="0.25">
      <c r="A15" t="s">
        <v>13</v>
      </c>
      <c r="B15" t="s">
        <v>23</v>
      </c>
      <c r="C15" t="s">
        <v>15</v>
      </c>
      <c r="D15" t="s">
        <v>18</v>
      </c>
      <c r="E15" t="s">
        <v>26</v>
      </c>
      <c r="F15" s="5">
        <v>35</v>
      </c>
      <c r="G15" s="6">
        <f>IF(Tabla13[[#This Row],[Meta 26 antes DPV]]=0,"",(Tabla13[[#This Row],[Meta 26 antes DPV]]-Tabla13[[#This Row],[Meta 26 Piso]])/Tabla13[[#This Row],[Meta 26 antes DPV]])</f>
        <v>0.14285714285714285</v>
      </c>
      <c r="H15" s="7">
        <v>30</v>
      </c>
      <c r="I15" s="8">
        <v>0.3</v>
      </c>
      <c r="J15" s="8">
        <v>0.7</v>
      </c>
      <c r="K15" s="9">
        <f t="shared" si="0"/>
        <v>9</v>
      </c>
      <c r="L15" s="9">
        <f t="shared" si="0"/>
        <v>21</v>
      </c>
      <c r="M15" s="9"/>
      <c r="N15" s="9">
        <v>2</v>
      </c>
      <c r="O15" s="9">
        <f>+Tabla13[[#This Row],[Avance Dígital]]+Tabla13[[#This Row],[Avance Vinculación]]</f>
        <v>2</v>
      </c>
    </row>
    <row r="16" spans="1:18" x14ac:dyDescent="0.25">
      <c r="A16" t="s">
        <v>13</v>
      </c>
      <c r="B16" t="s">
        <v>27</v>
      </c>
      <c r="C16" t="s">
        <v>15</v>
      </c>
      <c r="D16" t="s">
        <v>16</v>
      </c>
      <c r="E16" t="s">
        <v>28</v>
      </c>
      <c r="F16" s="5">
        <v>0</v>
      </c>
      <c r="G16" s="6"/>
      <c r="H16" s="7"/>
      <c r="I16" s="8">
        <v>0.3</v>
      </c>
      <c r="J16" s="8">
        <v>0.7</v>
      </c>
      <c r="K16" s="9">
        <f t="shared" si="0"/>
        <v>0</v>
      </c>
      <c r="L16" s="9">
        <f t="shared" si="0"/>
        <v>0</v>
      </c>
      <c r="M16" s="9"/>
      <c r="N16" s="9"/>
      <c r="O16" s="9">
        <f>+Tabla13[[#This Row],[Avance Dígital]]+Tabla13[[#This Row],[Avance Vinculación]]</f>
        <v>0</v>
      </c>
    </row>
    <row r="17" spans="1:15" x14ac:dyDescent="0.25">
      <c r="A17" t="s">
        <v>13</v>
      </c>
      <c r="B17" t="s">
        <v>27</v>
      </c>
      <c r="C17" t="s">
        <v>15</v>
      </c>
      <c r="D17" t="s">
        <v>16</v>
      </c>
      <c r="E17" t="s">
        <v>29</v>
      </c>
      <c r="F17" s="5">
        <v>0</v>
      </c>
      <c r="G17" s="6"/>
      <c r="H17" s="7"/>
      <c r="I17" s="8"/>
      <c r="J17" s="8"/>
      <c r="K17" s="9">
        <f t="shared" si="0"/>
        <v>0</v>
      </c>
      <c r="L17" s="9">
        <f t="shared" si="0"/>
        <v>0</v>
      </c>
      <c r="M17" s="9"/>
      <c r="N17" s="9"/>
      <c r="O17" s="9">
        <f>+Tabla13[[#This Row],[Avance Dígital]]+Tabla13[[#This Row],[Avance Vinculación]]</f>
        <v>0</v>
      </c>
    </row>
    <row r="18" spans="1:15" x14ac:dyDescent="0.25">
      <c r="A18" t="s">
        <v>13</v>
      </c>
      <c r="B18" t="s">
        <v>27</v>
      </c>
      <c r="C18" t="s">
        <v>15</v>
      </c>
      <c r="D18" t="s">
        <v>16</v>
      </c>
      <c r="E18" t="s">
        <v>30</v>
      </c>
      <c r="F18" s="5">
        <v>0</v>
      </c>
      <c r="G18" s="6"/>
      <c r="H18" s="7"/>
      <c r="I18" s="8"/>
      <c r="J18" s="8"/>
      <c r="K18" s="9">
        <f t="shared" si="0"/>
        <v>0</v>
      </c>
      <c r="L18" s="9">
        <f t="shared" si="0"/>
        <v>0</v>
      </c>
      <c r="M18" s="9">
        <v>3</v>
      </c>
      <c r="N18" s="9">
        <v>1</v>
      </c>
      <c r="O18" s="9">
        <f>+Tabla13[[#This Row],[Avance Dígital]]+Tabla13[[#This Row],[Avance Vinculación]]</f>
        <v>4</v>
      </c>
    </row>
    <row r="19" spans="1:15" x14ac:dyDescent="0.25">
      <c r="A19" t="s">
        <v>13</v>
      </c>
      <c r="B19" t="s">
        <v>14</v>
      </c>
      <c r="C19" t="s">
        <v>31</v>
      </c>
      <c r="D19" t="s">
        <v>16</v>
      </c>
      <c r="E19" t="s">
        <v>32</v>
      </c>
      <c r="F19" s="5">
        <v>33</v>
      </c>
      <c r="G19" s="6">
        <f>IF(Tabla13[[#This Row],[Meta 26 antes DPV]]=0,"",(Tabla13[[#This Row],[Meta 26 antes DPV]]-Tabla13[[#This Row],[Meta 26 Piso]])/Tabla13[[#This Row],[Meta 26 antes DPV]])</f>
        <v>9.0909090909090912E-2</v>
      </c>
      <c r="H19" s="7">
        <v>30</v>
      </c>
      <c r="I19" s="8">
        <v>0.2</v>
      </c>
      <c r="J19" s="8">
        <v>0.8</v>
      </c>
      <c r="K19" s="9">
        <f t="shared" si="0"/>
        <v>6</v>
      </c>
      <c r="L19" s="9">
        <f t="shared" si="0"/>
        <v>24</v>
      </c>
      <c r="M19" s="9"/>
      <c r="N19" s="9">
        <v>7</v>
      </c>
      <c r="O19" s="9">
        <f>+Tabla13[[#This Row],[Avance Dígital]]+Tabla13[[#This Row],[Avance Vinculación]]</f>
        <v>7</v>
      </c>
    </row>
    <row r="20" spans="1:15" x14ac:dyDescent="0.25">
      <c r="A20" t="s">
        <v>13</v>
      </c>
      <c r="B20" t="s">
        <v>27</v>
      </c>
      <c r="C20" t="s">
        <v>31</v>
      </c>
      <c r="D20" t="s">
        <v>16</v>
      </c>
      <c r="E20" t="s">
        <v>33</v>
      </c>
      <c r="G20" s="6"/>
      <c r="H20" s="7"/>
      <c r="I20" s="8">
        <v>0.2</v>
      </c>
      <c r="J20" s="8">
        <v>0.8</v>
      </c>
      <c r="K20" s="9">
        <f t="shared" si="0"/>
        <v>0</v>
      </c>
      <c r="L20" s="9">
        <f t="shared" si="0"/>
        <v>0</v>
      </c>
      <c r="M20" s="9"/>
      <c r="N20" s="9"/>
      <c r="O20" s="9">
        <f>+Tabla13[[#This Row],[Avance Dígital]]+Tabla13[[#This Row],[Avance Vinculación]]</f>
        <v>0</v>
      </c>
    </row>
    <row r="21" spans="1:15" x14ac:dyDescent="0.25">
      <c r="A21" t="s">
        <v>13</v>
      </c>
      <c r="B21" t="s">
        <v>34</v>
      </c>
      <c r="C21" t="s">
        <v>31</v>
      </c>
      <c r="D21" t="s">
        <v>16</v>
      </c>
      <c r="E21" t="s">
        <v>35</v>
      </c>
      <c r="F21" s="5">
        <v>35</v>
      </c>
      <c r="G21" s="6">
        <f>IF(Tabla13[[#This Row],[Meta 26 antes DPV]]=0,"",(Tabla13[[#This Row],[Meta 26 antes DPV]]-Tabla13[[#This Row],[Meta 26 Piso]])/Tabla13[[#This Row],[Meta 26 antes DPV]])</f>
        <v>0.14285714285714285</v>
      </c>
      <c r="H21" s="7">
        <v>30</v>
      </c>
      <c r="I21" s="8">
        <v>0.2</v>
      </c>
      <c r="J21" s="8">
        <v>0.8</v>
      </c>
      <c r="K21" s="9">
        <f t="shared" si="0"/>
        <v>6</v>
      </c>
      <c r="L21" s="9">
        <f t="shared" si="0"/>
        <v>24</v>
      </c>
      <c r="M21" s="9"/>
      <c r="N21" s="9">
        <v>2</v>
      </c>
      <c r="O21" s="9">
        <f>+Tabla13[[#This Row],[Avance Dígital]]+Tabla13[[#This Row],[Avance Vinculación]]</f>
        <v>2</v>
      </c>
    </row>
    <row r="22" spans="1:15" x14ac:dyDescent="0.25">
      <c r="A22" t="s">
        <v>13</v>
      </c>
      <c r="B22" t="s">
        <v>34</v>
      </c>
      <c r="C22" t="s">
        <v>31</v>
      </c>
      <c r="D22" t="s">
        <v>16</v>
      </c>
      <c r="E22" t="s">
        <v>36</v>
      </c>
      <c r="F22" s="5">
        <v>35</v>
      </c>
      <c r="G22" s="6">
        <f>IF(Tabla13[[#This Row],[Meta 26 antes DPV]]=0,"",(Tabla13[[#This Row],[Meta 26 antes DPV]]-Tabla13[[#This Row],[Meta 26 Piso]])/Tabla13[[#This Row],[Meta 26 antes DPV]])</f>
        <v>0.14285714285714285</v>
      </c>
      <c r="H22" s="7">
        <v>30</v>
      </c>
      <c r="I22" s="8">
        <v>0.2</v>
      </c>
      <c r="J22" s="8">
        <v>0.8</v>
      </c>
      <c r="K22" s="9">
        <f t="shared" si="0"/>
        <v>6</v>
      </c>
      <c r="L22" s="9">
        <f t="shared" si="0"/>
        <v>24</v>
      </c>
      <c r="M22" s="9"/>
      <c r="N22" s="9">
        <v>5</v>
      </c>
      <c r="O22" s="9">
        <f>+Tabla13[[#This Row],[Avance Dígital]]+Tabla13[[#This Row],[Avance Vinculación]]</f>
        <v>5</v>
      </c>
    </row>
    <row r="23" spans="1:15" x14ac:dyDescent="0.25">
      <c r="A23" t="s">
        <v>13</v>
      </c>
      <c r="B23" t="s">
        <v>23</v>
      </c>
      <c r="C23" t="s">
        <v>31</v>
      </c>
      <c r="D23" t="s">
        <v>16</v>
      </c>
      <c r="E23" t="s">
        <v>37</v>
      </c>
      <c r="F23" s="5">
        <v>22</v>
      </c>
      <c r="G23" s="6">
        <f>IF(Tabla13[[#This Row],[Meta 26 antes DPV]]=0,"",(Tabla13[[#This Row],[Meta 26 antes DPV]]-Tabla13[[#This Row],[Meta 26 Piso]])/Tabla13[[#This Row],[Meta 26 antes DPV]])</f>
        <v>9.0909090909090912E-2</v>
      </c>
      <c r="H23" s="7">
        <v>20</v>
      </c>
      <c r="I23" s="8">
        <v>0.2</v>
      </c>
      <c r="J23" s="8">
        <v>0.8</v>
      </c>
      <c r="K23" s="9">
        <f t="shared" si="0"/>
        <v>4</v>
      </c>
      <c r="L23" s="9">
        <f t="shared" si="0"/>
        <v>16</v>
      </c>
      <c r="M23" s="9"/>
      <c r="N23" s="9">
        <v>7</v>
      </c>
      <c r="O23" s="9">
        <f>+Tabla13[[#This Row],[Avance Dígital]]+Tabla13[[#This Row],[Avance Vinculación]]</f>
        <v>7</v>
      </c>
    </row>
    <row r="24" spans="1:15" x14ac:dyDescent="0.25">
      <c r="A24" t="s">
        <v>38</v>
      </c>
      <c r="B24" t="s">
        <v>14</v>
      </c>
      <c r="C24" t="s">
        <v>15</v>
      </c>
      <c r="D24" t="s">
        <v>16</v>
      </c>
      <c r="E24" t="s">
        <v>19</v>
      </c>
      <c r="F24">
        <v>100</v>
      </c>
      <c r="G24" s="6">
        <f>IF(Tabla13[[#This Row],[Meta 26 antes DPV]]=0,"",(Tabla13[[#This Row],[Meta 26 antes DPV]]-Tabla13[[#This Row],[Meta 26 Piso]])/Tabla13[[#This Row],[Meta 26 antes DPV]])</f>
        <v>0.11</v>
      </c>
      <c r="H24" s="5">
        <v>89</v>
      </c>
      <c r="I24" s="8">
        <v>0.7</v>
      </c>
      <c r="J24" s="8">
        <v>0.3</v>
      </c>
      <c r="K24" s="9">
        <f t="shared" si="0"/>
        <v>62.3</v>
      </c>
      <c r="L24" s="9">
        <f t="shared" si="0"/>
        <v>26.7</v>
      </c>
      <c r="M24" s="9">
        <v>8</v>
      </c>
      <c r="N24" s="9">
        <v>18</v>
      </c>
      <c r="O24" s="9">
        <f>+Tabla13[[#This Row],[Avance Dígital]]+Tabla13[[#This Row],[Avance Vinculación]]</f>
        <v>26</v>
      </c>
    </row>
    <row r="25" spans="1:15" x14ac:dyDescent="0.25">
      <c r="A25" t="s">
        <v>38</v>
      </c>
      <c r="B25" t="s">
        <v>14</v>
      </c>
      <c r="C25" t="s">
        <v>15</v>
      </c>
      <c r="D25" t="s">
        <v>18</v>
      </c>
      <c r="E25" t="s">
        <v>19</v>
      </c>
      <c r="F25">
        <v>58</v>
      </c>
      <c r="G25" s="6">
        <f>IF(Tabla13[[#This Row],[Meta 26 antes DPV]]=0,"",(Tabla13[[#This Row],[Meta 26 antes DPV]]-Tabla13[[#This Row],[Meta 26 Piso]])/Tabla13[[#This Row],[Meta 26 antes DPV]])</f>
        <v>0.15517241379310345</v>
      </c>
      <c r="H25" s="5">
        <v>49</v>
      </c>
      <c r="I25" s="8">
        <v>0.7</v>
      </c>
      <c r="J25" s="8">
        <v>0.3</v>
      </c>
      <c r="K25" s="9">
        <f t="shared" si="0"/>
        <v>34.299999999999997</v>
      </c>
      <c r="L25" s="9">
        <f t="shared" si="0"/>
        <v>14.7</v>
      </c>
      <c r="M25" s="9">
        <v>15</v>
      </c>
      <c r="N25" s="9">
        <v>11</v>
      </c>
      <c r="O25" s="9">
        <f>+Tabla13[[#This Row],[Avance Dígital]]+Tabla13[[#This Row],[Avance Vinculación]]</f>
        <v>26</v>
      </c>
    </row>
    <row r="26" spans="1:15" x14ac:dyDescent="0.25">
      <c r="A26" t="s">
        <v>38</v>
      </c>
      <c r="B26" t="s">
        <v>14</v>
      </c>
      <c r="C26" t="s">
        <v>15</v>
      </c>
      <c r="D26" t="s">
        <v>16</v>
      </c>
      <c r="E26" t="s">
        <v>39</v>
      </c>
      <c r="F26">
        <v>42</v>
      </c>
      <c r="G26" s="6">
        <f>IF(Tabla13[[#This Row],[Meta 26 antes DPV]]=0,"",(Tabla13[[#This Row],[Meta 26 antes DPV]]-Tabla13[[#This Row],[Meta 26 Piso]])/Tabla13[[#This Row],[Meta 26 antes DPV]])</f>
        <v>0.16666666666666666</v>
      </c>
      <c r="H26" s="5">
        <v>35</v>
      </c>
      <c r="I26" s="8">
        <v>0.7</v>
      </c>
      <c r="J26" s="8">
        <v>0.3</v>
      </c>
      <c r="K26" s="9">
        <f t="shared" si="0"/>
        <v>24.5</v>
      </c>
      <c r="L26" s="9">
        <f t="shared" si="0"/>
        <v>10.5</v>
      </c>
      <c r="M26" s="9">
        <v>6</v>
      </c>
      <c r="N26" s="9">
        <v>7</v>
      </c>
      <c r="O26" s="9">
        <f>+Tabla13[[#This Row],[Avance Dígital]]+Tabla13[[#This Row],[Avance Vinculación]]</f>
        <v>13</v>
      </c>
    </row>
    <row r="27" spans="1:15" x14ac:dyDescent="0.25">
      <c r="A27" t="s">
        <v>38</v>
      </c>
      <c r="B27" t="s">
        <v>14</v>
      </c>
      <c r="C27" t="s">
        <v>15</v>
      </c>
      <c r="D27" t="s">
        <v>16</v>
      </c>
      <c r="E27" t="s">
        <v>40</v>
      </c>
      <c r="F27">
        <v>30</v>
      </c>
      <c r="G27" s="6">
        <f>IF(Tabla13[[#This Row],[Meta 26 antes DPV]]=0,"",(Tabla13[[#This Row],[Meta 26 antes DPV]]-Tabla13[[#This Row],[Meta 26 Piso]])/Tabla13[[#This Row],[Meta 26 antes DPV]])</f>
        <v>0.26666666666666666</v>
      </c>
      <c r="H27" s="5">
        <v>22</v>
      </c>
      <c r="I27" s="8">
        <v>0.7</v>
      </c>
      <c r="J27" s="8">
        <v>0.3</v>
      </c>
      <c r="K27" s="9">
        <f t="shared" si="0"/>
        <v>15.399999999999999</v>
      </c>
      <c r="L27" s="9">
        <f t="shared" si="0"/>
        <v>6.6</v>
      </c>
      <c r="M27" s="9">
        <v>2</v>
      </c>
      <c r="N27" s="9">
        <v>7</v>
      </c>
      <c r="O27" s="9">
        <f>+Tabla13[[#This Row],[Avance Dígital]]+Tabla13[[#This Row],[Avance Vinculación]]</f>
        <v>9</v>
      </c>
    </row>
    <row r="28" spans="1:15" x14ac:dyDescent="0.25">
      <c r="A28" t="s">
        <v>38</v>
      </c>
      <c r="B28" t="s">
        <v>14</v>
      </c>
      <c r="C28" t="s">
        <v>15</v>
      </c>
      <c r="D28" t="s">
        <v>18</v>
      </c>
      <c r="E28" t="s">
        <v>40</v>
      </c>
      <c r="F28">
        <v>30</v>
      </c>
      <c r="G28" s="6">
        <f>IF(Tabla13[[#This Row],[Meta 26 antes DPV]]=0,"",(Tabla13[[#This Row],[Meta 26 antes DPV]]-Tabla13[[#This Row],[Meta 26 Piso]])/Tabla13[[#This Row],[Meta 26 antes DPV]])</f>
        <v>6.6666666666666666E-2</v>
      </c>
      <c r="H28" s="5">
        <v>28</v>
      </c>
      <c r="I28" s="8">
        <v>0.7</v>
      </c>
      <c r="J28" s="8">
        <v>0.3</v>
      </c>
      <c r="K28" s="9">
        <f t="shared" si="0"/>
        <v>19.599999999999998</v>
      </c>
      <c r="L28" s="9">
        <f t="shared" si="0"/>
        <v>8.4</v>
      </c>
      <c r="M28" s="9">
        <v>3</v>
      </c>
      <c r="N28" s="9">
        <v>1</v>
      </c>
      <c r="O28" s="9">
        <f>+Tabla13[[#This Row],[Avance Dígital]]+Tabla13[[#This Row],[Avance Vinculación]]</f>
        <v>4</v>
      </c>
    </row>
    <row r="29" spans="1:15" x14ac:dyDescent="0.25">
      <c r="A29" t="s">
        <v>38</v>
      </c>
      <c r="B29" t="s">
        <v>14</v>
      </c>
      <c r="C29" t="s">
        <v>15</v>
      </c>
      <c r="D29" t="s">
        <v>16</v>
      </c>
      <c r="E29" t="s">
        <v>25</v>
      </c>
      <c r="F29">
        <v>65</v>
      </c>
      <c r="G29" s="6">
        <f>IF(Tabla13[[#This Row],[Meta 26 antes DPV]]=0,"",(Tabla13[[#This Row],[Meta 26 antes DPV]]-Tabla13[[#This Row],[Meta 26 Piso]])/Tabla13[[#This Row],[Meta 26 antes DPV]])</f>
        <v>0.15384615384615385</v>
      </c>
      <c r="H29" s="5">
        <v>55</v>
      </c>
      <c r="I29" s="8">
        <v>0.7</v>
      </c>
      <c r="J29" s="8">
        <v>0.3</v>
      </c>
      <c r="K29" s="9">
        <f t="shared" si="0"/>
        <v>38.5</v>
      </c>
      <c r="L29" s="9">
        <f t="shared" si="0"/>
        <v>16.5</v>
      </c>
      <c r="M29" s="9">
        <v>9</v>
      </c>
      <c r="N29" s="9">
        <v>11</v>
      </c>
      <c r="O29" s="9">
        <f>+Tabla13[[#This Row],[Avance Dígital]]+Tabla13[[#This Row],[Avance Vinculación]]</f>
        <v>20</v>
      </c>
    </row>
    <row r="30" spans="1:15" x14ac:dyDescent="0.25">
      <c r="A30" t="s">
        <v>38</v>
      </c>
      <c r="B30" t="s">
        <v>14</v>
      </c>
      <c r="C30" t="s">
        <v>15</v>
      </c>
      <c r="D30" t="s">
        <v>16</v>
      </c>
      <c r="E30" t="s">
        <v>17</v>
      </c>
      <c r="F30">
        <v>48</v>
      </c>
      <c r="G30" s="6">
        <f>IF(Tabla13[[#This Row],[Meta 26 antes DPV]]=0,"",(Tabla13[[#This Row],[Meta 26 antes DPV]]-Tabla13[[#This Row],[Meta 26 Piso]])/Tabla13[[#This Row],[Meta 26 antes DPV]])</f>
        <v>0.16666666666666666</v>
      </c>
      <c r="H30" s="5">
        <v>40</v>
      </c>
      <c r="I30" s="8">
        <v>0.7</v>
      </c>
      <c r="J30" s="8">
        <v>0.3</v>
      </c>
      <c r="K30" s="9">
        <f t="shared" si="0"/>
        <v>28</v>
      </c>
      <c r="L30" s="9">
        <f t="shared" si="0"/>
        <v>12</v>
      </c>
      <c r="M30" s="9">
        <v>6</v>
      </c>
      <c r="N30" s="9">
        <v>9</v>
      </c>
      <c r="O30" s="9">
        <f>+Tabla13[[#This Row],[Avance Dígital]]+Tabla13[[#This Row],[Avance Vinculación]]</f>
        <v>15</v>
      </c>
    </row>
    <row r="31" spans="1:15" x14ac:dyDescent="0.25">
      <c r="A31" t="s">
        <v>38</v>
      </c>
      <c r="B31" t="s">
        <v>14</v>
      </c>
      <c r="C31" t="s">
        <v>15</v>
      </c>
      <c r="D31" t="s">
        <v>16</v>
      </c>
      <c r="E31" t="s">
        <v>21</v>
      </c>
      <c r="F31">
        <v>45</v>
      </c>
      <c r="G31" s="6">
        <f>IF(Tabla13[[#This Row],[Meta 26 antes DPV]]=0,"",(Tabla13[[#This Row],[Meta 26 antes DPV]]-Tabla13[[#This Row],[Meta 26 Piso]])/Tabla13[[#This Row],[Meta 26 antes DPV]])</f>
        <v>0.15555555555555556</v>
      </c>
      <c r="H31" s="5">
        <v>38</v>
      </c>
      <c r="I31" s="8">
        <v>0.7</v>
      </c>
      <c r="J31" s="8">
        <v>0.3</v>
      </c>
      <c r="K31" s="9">
        <f t="shared" si="0"/>
        <v>26.599999999999998</v>
      </c>
      <c r="L31" s="9">
        <f t="shared" si="0"/>
        <v>11.4</v>
      </c>
      <c r="M31" s="9">
        <v>8</v>
      </c>
      <c r="N31" s="9">
        <v>6</v>
      </c>
      <c r="O31" s="9">
        <f>+Tabla13[[#This Row],[Avance Dígital]]+Tabla13[[#This Row],[Avance Vinculación]]</f>
        <v>14</v>
      </c>
    </row>
    <row r="32" spans="1:15" x14ac:dyDescent="0.25">
      <c r="A32" t="s">
        <v>38</v>
      </c>
      <c r="B32" t="s">
        <v>23</v>
      </c>
      <c r="C32" t="s">
        <v>15</v>
      </c>
      <c r="D32" t="s">
        <v>16</v>
      </c>
      <c r="E32" t="s">
        <v>30</v>
      </c>
      <c r="F32" s="10">
        <v>27</v>
      </c>
      <c r="G32" s="6">
        <f>IF(Tabla13[[#This Row],[Meta 26 antes DPV]]=0,"",(Tabla13[[#This Row],[Meta 26 antes DPV]]-Tabla13[[#This Row],[Meta 26 Piso]])/Tabla13[[#This Row],[Meta 26 antes DPV]])</f>
        <v>0.1111111111111111</v>
      </c>
      <c r="H32" s="5">
        <v>24</v>
      </c>
      <c r="I32" s="8">
        <v>0.7</v>
      </c>
      <c r="J32" s="8">
        <v>0.3</v>
      </c>
      <c r="K32" s="9">
        <f t="shared" si="0"/>
        <v>16.799999999999997</v>
      </c>
      <c r="L32" s="9">
        <f t="shared" si="0"/>
        <v>7.1999999999999993</v>
      </c>
      <c r="M32" s="9">
        <v>1</v>
      </c>
      <c r="N32" s="9">
        <v>2</v>
      </c>
      <c r="O32" s="9">
        <f>+Tabla13[[#This Row],[Avance Dígital]]+Tabla13[[#This Row],[Avance Vinculación]]</f>
        <v>3</v>
      </c>
    </row>
    <row r="33" spans="1:15" x14ac:dyDescent="0.25">
      <c r="A33" t="s">
        <v>38</v>
      </c>
      <c r="B33" t="s">
        <v>14</v>
      </c>
      <c r="C33" t="s">
        <v>15</v>
      </c>
      <c r="D33" t="s">
        <v>16</v>
      </c>
      <c r="E33" t="s">
        <v>41</v>
      </c>
      <c r="F33">
        <v>25</v>
      </c>
      <c r="G33" s="6">
        <f>IF(Tabla13[[#This Row],[Meta 26 antes DPV]]=0,"",(Tabla13[[#This Row],[Meta 26 antes DPV]]-Tabla13[[#This Row],[Meta 26 Piso]])/Tabla13[[#This Row],[Meta 26 antes DPV]])</f>
        <v>0.08</v>
      </c>
      <c r="H33" s="5">
        <v>23</v>
      </c>
      <c r="I33" s="8">
        <v>0.7</v>
      </c>
      <c r="J33" s="8">
        <v>0.3</v>
      </c>
      <c r="K33" s="9">
        <f t="shared" si="0"/>
        <v>16.099999999999998</v>
      </c>
      <c r="L33" s="9">
        <f t="shared" si="0"/>
        <v>6.8999999999999995</v>
      </c>
      <c r="M33" s="9">
        <v>8</v>
      </c>
      <c r="N33" s="9">
        <v>5</v>
      </c>
      <c r="O33" s="9">
        <f>+Tabla13[[#This Row],[Avance Dígital]]+Tabla13[[#This Row],[Avance Vinculación]]</f>
        <v>13</v>
      </c>
    </row>
    <row r="34" spans="1:15" x14ac:dyDescent="0.25">
      <c r="A34" t="s">
        <v>38</v>
      </c>
      <c r="B34" t="s">
        <v>23</v>
      </c>
      <c r="C34" t="s">
        <v>15</v>
      </c>
      <c r="D34" t="s">
        <v>16</v>
      </c>
      <c r="E34" t="s">
        <v>29</v>
      </c>
      <c r="F34" s="10">
        <v>28</v>
      </c>
      <c r="G34" s="6">
        <f>IF(Tabla13[[#This Row],[Meta 26 antes DPV]]=0,"",(Tabla13[[#This Row],[Meta 26 antes DPV]]-Tabla13[[#This Row],[Meta 26 Piso]])/Tabla13[[#This Row],[Meta 26 antes DPV]])</f>
        <v>0.14285714285714285</v>
      </c>
      <c r="H34" s="5">
        <v>24</v>
      </c>
      <c r="I34" s="8">
        <v>0.7</v>
      </c>
      <c r="J34" s="8">
        <v>0.3</v>
      </c>
      <c r="K34" s="9">
        <f t="shared" si="0"/>
        <v>16.799999999999997</v>
      </c>
      <c r="L34" s="9">
        <f t="shared" si="0"/>
        <v>7.1999999999999993</v>
      </c>
      <c r="M34" s="9">
        <v>2</v>
      </c>
      <c r="N34" s="9">
        <v>3</v>
      </c>
      <c r="O34" s="9">
        <f>+Tabla13[[#This Row],[Avance Dígital]]+Tabla13[[#This Row],[Avance Vinculación]]</f>
        <v>5</v>
      </c>
    </row>
    <row r="35" spans="1:15" x14ac:dyDescent="0.25">
      <c r="A35" t="s">
        <v>38</v>
      </c>
      <c r="B35" t="s">
        <v>23</v>
      </c>
      <c r="C35" t="s">
        <v>15</v>
      </c>
      <c r="D35" t="s">
        <v>18</v>
      </c>
      <c r="E35" t="s">
        <v>29</v>
      </c>
      <c r="F35" s="10">
        <v>30</v>
      </c>
      <c r="G35" s="6">
        <f>IF(Tabla13[[#This Row],[Meta 26 antes DPV]]=0,"",(Tabla13[[#This Row],[Meta 26 antes DPV]]-Tabla13[[#This Row],[Meta 26 Piso]])/Tabla13[[#This Row],[Meta 26 antes DPV]])</f>
        <v>0.2</v>
      </c>
      <c r="H35" s="5">
        <v>24</v>
      </c>
      <c r="I35" s="8">
        <v>0.7</v>
      </c>
      <c r="J35" s="8">
        <v>0.3</v>
      </c>
      <c r="K35" s="9">
        <f t="shared" si="0"/>
        <v>16.799999999999997</v>
      </c>
      <c r="L35" s="9">
        <f t="shared" si="0"/>
        <v>7.1999999999999993</v>
      </c>
      <c r="M35" s="9">
        <v>2</v>
      </c>
      <c r="N35" s="9">
        <v>3</v>
      </c>
      <c r="O35" s="9">
        <f>+Tabla13[[#This Row],[Avance Dígital]]+Tabla13[[#This Row],[Avance Vinculación]]</f>
        <v>5</v>
      </c>
    </row>
    <row r="36" spans="1:15" x14ac:dyDescent="0.25">
      <c r="A36" t="s">
        <v>38</v>
      </c>
      <c r="B36" t="s">
        <v>34</v>
      </c>
      <c r="C36" t="s">
        <v>15</v>
      </c>
      <c r="D36" t="s">
        <v>18</v>
      </c>
      <c r="E36" t="s">
        <v>42</v>
      </c>
      <c r="F36">
        <v>30</v>
      </c>
      <c r="G36" s="6">
        <f>IF(Tabla13[[#This Row],[Meta 26 antes DPV]]=0,"",(Tabla13[[#This Row],[Meta 26 antes DPV]]-Tabla13[[#This Row],[Meta 26 Piso]])/Tabla13[[#This Row],[Meta 26 antes DPV]])</f>
        <v>0.16666666666666666</v>
      </c>
      <c r="H36" s="5">
        <v>25</v>
      </c>
      <c r="I36" s="8">
        <v>0.7</v>
      </c>
      <c r="J36" s="8">
        <v>0.3</v>
      </c>
      <c r="K36" s="9">
        <f t="shared" si="0"/>
        <v>17.5</v>
      </c>
      <c r="L36" s="9">
        <f t="shared" si="0"/>
        <v>7.5</v>
      </c>
      <c r="M36" s="9">
        <v>1</v>
      </c>
      <c r="N36" s="9">
        <v>1</v>
      </c>
      <c r="O36" s="9">
        <f>+Tabla13[[#This Row],[Avance Dígital]]+Tabla13[[#This Row],[Avance Vinculación]]</f>
        <v>2</v>
      </c>
    </row>
    <row r="37" spans="1:15" x14ac:dyDescent="0.25">
      <c r="A37" t="s">
        <v>38</v>
      </c>
      <c r="B37" t="s">
        <v>34</v>
      </c>
      <c r="C37" t="s">
        <v>15</v>
      </c>
      <c r="D37" t="s">
        <v>18</v>
      </c>
      <c r="E37" t="s">
        <v>43</v>
      </c>
      <c r="F37">
        <v>30</v>
      </c>
      <c r="G37" s="6">
        <f>IF(Tabla13[[#This Row],[Meta 26 antes DPV]]=0,"",(Tabla13[[#This Row],[Meta 26 antes DPV]]-Tabla13[[#This Row],[Meta 26 Piso]])/Tabla13[[#This Row],[Meta 26 antes DPV]])</f>
        <v>0.16666666666666666</v>
      </c>
      <c r="H37" s="5">
        <v>25</v>
      </c>
      <c r="I37" s="8">
        <v>0.7</v>
      </c>
      <c r="J37" s="8">
        <v>0.3</v>
      </c>
      <c r="K37" s="9">
        <f t="shared" si="0"/>
        <v>17.5</v>
      </c>
      <c r="L37" s="9">
        <f t="shared" si="0"/>
        <v>7.5</v>
      </c>
      <c r="M37" s="9">
        <v>1</v>
      </c>
      <c r="N37" s="9">
        <v>2</v>
      </c>
      <c r="O37" s="9">
        <f>+Tabla13[[#This Row],[Avance Dígital]]+Tabla13[[#This Row],[Avance Vinculación]]</f>
        <v>3</v>
      </c>
    </row>
    <row r="38" spans="1:15" x14ac:dyDescent="0.25">
      <c r="A38" t="s">
        <v>38</v>
      </c>
      <c r="B38" t="s">
        <v>27</v>
      </c>
      <c r="C38" t="s">
        <v>15</v>
      </c>
      <c r="D38" t="s">
        <v>18</v>
      </c>
      <c r="E38" t="s">
        <v>44</v>
      </c>
      <c r="F38"/>
      <c r="G38" s="6"/>
      <c r="H38" s="5"/>
      <c r="I38" s="8">
        <v>0.7</v>
      </c>
      <c r="J38" s="8">
        <v>0.3</v>
      </c>
      <c r="K38" s="9">
        <f t="shared" si="0"/>
        <v>0</v>
      </c>
      <c r="L38" s="9">
        <f t="shared" si="0"/>
        <v>0</v>
      </c>
      <c r="M38" s="9">
        <v>2</v>
      </c>
      <c r="N38" s="9">
        <v>0</v>
      </c>
      <c r="O38" s="9">
        <f>+Tabla13[[#This Row],[Avance Dígital]]+Tabla13[[#This Row],[Avance Vinculación]]</f>
        <v>2</v>
      </c>
    </row>
    <row r="39" spans="1:15" x14ac:dyDescent="0.25">
      <c r="A39" t="s">
        <v>38</v>
      </c>
      <c r="B39" t="s">
        <v>27</v>
      </c>
      <c r="C39" t="s">
        <v>15</v>
      </c>
      <c r="D39" t="s">
        <v>18</v>
      </c>
      <c r="E39" t="s">
        <v>24</v>
      </c>
      <c r="F39">
        <v>0</v>
      </c>
      <c r="G39" s="6"/>
      <c r="H39" s="5"/>
      <c r="I39" s="8">
        <v>0.7</v>
      </c>
      <c r="J39" s="8">
        <v>0.3</v>
      </c>
      <c r="K39" s="9">
        <f t="shared" si="0"/>
        <v>0</v>
      </c>
      <c r="L39" s="9">
        <f t="shared" si="0"/>
        <v>0</v>
      </c>
      <c r="M39" s="9">
        <v>2</v>
      </c>
      <c r="N39" s="9">
        <v>3</v>
      </c>
      <c r="O39" s="9">
        <f>+Tabla13[[#This Row],[Avance Dígital]]+Tabla13[[#This Row],[Avance Vinculación]]</f>
        <v>5</v>
      </c>
    </row>
    <row r="40" spans="1:15" x14ac:dyDescent="0.25">
      <c r="A40" t="s">
        <v>38</v>
      </c>
      <c r="B40" t="s">
        <v>27</v>
      </c>
      <c r="C40" t="s">
        <v>15</v>
      </c>
      <c r="D40" t="s">
        <v>18</v>
      </c>
      <c r="E40" t="s">
        <v>45</v>
      </c>
      <c r="F40"/>
      <c r="G40" s="6"/>
      <c r="H40" s="5"/>
      <c r="I40" s="8">
        <v>0.7</v>
      </c>
      <c r="J40" s="8">
        <v>0.3</v>
      </c>
      <c r="K40" s="9">
        <f t="shared" si="0"/>
        <v>0</v>
      </c>
      <c r="L40" s="9">
        <f t="shared" si="0"/>
        <v>0</v>
      </c>
      <c r="M40" s="9">
        <v>1</v>
      </c>
      <c r="N40" s="9">
        <v>0</v>
      </c>
      <c r="O40" s="9">
        <f>+Tabla13[[#This Row],[Avance Dígital]]+Tabla13[[#This Row],[Avance Vinculación]]</f>
        <v>1</v>
      </c>
    </row>
    <row r="41" spans="1:15" x14ac:dyDescent="0.25">
      <c r="A41" t="s">
        <v>38</v>
      </c>
      <c r="B41" t="s">
        <v>27</v>
      </c>
      <c r="C41" t="s">
        <v>15</v>
      </c>
      <c r="D41" t="s">
        <v>18</v>
      </c>
      <c r="E41" t="s">
        <v>46</v>
      </c>
      <c r="F41"/>
      <c r="G41" s="6"/>
      <c r="H41" s="5"/>
      <c r="I41" s="8">
        <v>0.7</v>
      </c>
      <c r="J41" s="8">
        <v>0.3</v>
      </c>
      <c r="K41" s="9">
        <f t="shared" si="0"/>
        <v>0</v>
      </c>
      <c r="L41" s="9">
        <f t="shared" si="0"/>
        <v>0</v>
      </c>
      <c r="M41" s="9">
        <v>0</v>
      </c>
      <c r="N41" s="9">
        <v>0</v>
      </c>
      <c r="O41" s="9">
        <f>+Tabla13[[#This Row],[Avance Dígital]]+Tabla13[[#This Row],[Avance Vinculación]]</f>
        <v>0</v>
      </c>
    </row>
    <row r="42" spans="1:15" x14ac:dyDescent="0.25">
      <c r="A42" t="s">
        <v>38</v>
      </c>
      <c r="B42" t="s">
        <v>14</v>
      </c>
      <c r="C42" t="s">
        <v>31</v>
      </c>
      <c r="D42" t="s">
        <v>16</v>
      </c>
      <c r="E42" t="s">
        <v>47</v>
      </c>
      <c r="F42">
        <v>20</v>
      </c>
      <c r="G42" s="6">
        <f>IF(Tabla13[[#This Row],[Meta 26 antes DPV]]=0,"",(Tabla13[[#This Row],[Meta 26 antes DPV]]-Tabla13[[#This Row],[Meta 26 Piso]])/Tabla13[[#This Row],[Meta 26 antes DPV]])</f>
        <v>0.1</v>
      </c>
      <c r="H42" s="5">
        <v>18</v>
      </c>
      <c r="I42" s="8">
        <v>0.7</v>
      </c>
      <c r="J42" s="8">
        <v>0.3</v>
      </c>
      <c r="K42" s="9">
        <f t="shared" si="0"/>
        <v>12.6</v>
      </c>
      <c r="L42" s="9">
        <f t="shared" si="0"/>
        <v>5.3999999999999995</v>
      </c>
      <c r="M42" s="9">
        <v>1</v>
      </c>
      <c r="N42" s="9"/>
      <c r="O42" s="9">
        <f>+Tabla13[[#This Row],[Avance Dígital]]+Tabla13[[#This Row],[Avance Vinculación]]</f>
        <v>1</v>
      </c>
    </row>
    <row r="43" spans="1:15" x14ac:dyDescent="0.25">
      <c r="A43" t="s">
        <v>38</v>
      </c>
      <c r="B43" t="s">
        <v>23</v>
      </c>
      <c r="C43" t="s">
        <v>31</v>
      </c>
      <c r="D43" t="s">
        <v>16</v>
      </c>
      <c r="E43" t="s">
        <v>48</v>
      </c>
      <c r="F43">
        <v>17</v>
      </c>
      <c r="G43" s="6">
        <f>IF(Tabla13[[#This Row],[Meta 26 antes DPV]]=0,"",(Tabla13[[#This Row],[Meta 26 antes DPV]]-Tabla13[[#This Row],[Meta 26 Piso]])/Tabla13[[#This Row],[Meta 26 antes DPV]])</f>
        <v>5.8823529411764705E-2</v>
      </c>
      <c r="H43" s="5">
        <v>16</v>
      </c>
      <c r="I43" s="8">
        <v>0.7</v>
      </c>
      <c r="J43" s="8">
        <v>0.3</v>
      </c>
      <c r="K43" s="9">
        <f t="shared" si="0"/>
        <v>11.2</v>
      </c>
      <c r="L43" s="9">
        <f t="shared" si="0"/>
        <v>4.8</v>
      </c>
      <c r="M43" s="9">
        <v>1</v>
      </c>
      <c r="N43" s="9">
        <v>1</v>
      </c>
      <c r="O43" s="9">
        <f>+Tabla13[[#This Row],[Avance Dígital]]+Tabla13[[#This Row],[Avance Vinculación]]</f>
        <v>2</v>
      </c>
    </row>
    <row r="44" spans="1:15" x14ac:dyDescent="0.25">
      <c r="A44" t="s">
        <v>38</v>
      </c>
      <c r="B44" t="s">
        <v>14</v>
      </c>
      <c r="C44" t="s">
        <v>31</v>
      </c>
      <c r="D44" t="s">
        <v>16</v>
      </c>
      <c r="E44" t="s">
        <v>49</v>
      </c>
      <c r="F44">
        <v>18</v>
      </c>
      <c r="G44" s="6">
        <f>IF(Tabla13[[#This Row],[Meta 26 antes DPV]]=0,"",(Tabla13[[#This Row],[Meta 26 antes DPV]]-Tabla13[[#This Row],[Meta 26 Piso]])/Tabla13[[#This Row],[Meta 26 antes DPV]])</f>
        <v>5.5555555555555552E-2</v>
      </c>
      <c r="H44" s="5">
        <v>17</v>
      </c>
      <c r="I44" s="8">
        <v>0.7</v>
      </c>
      <c r="J44" s="8">
        <v>0.3</v>
      </c>
      <c r="K44" s="9">
        <f t="shared" si="0"/>
        <v>11.899999999999999</v>
      </c>
      <c r="L44" s="9">
        <f t="shared" si="0"/>
        <v>5.0999999999999996</v>
      </c>
      <c r="M44" s="9"/>
      <c r="N44" s="9"/>
      <c r="O44" s="9">
        <f>+Tabla13[[#This Row],[Avance Dígital]]+Tabla13[[#This Row],[Avance Vinculación]]</f>
        <v>0</v>
      </c>
    </row>
    <row r="45" spans="1:15" x14ac:dyDescent="0.25">
      <c r="A45" t="s">
        <v>38</v>
      </c>
      <c r="B45" t="s">
        <v>23</v>
      </c>
      <c r="C45" t="s">
        <v>31</v>
      </c>
      <c r="D45" t="s">
        <v>16</v>
      </c>
      <c r="E45" t="s">
        <v>50</v>
      </c>
      <c r="F45">
        <v>20</v>
      </c>
      <c r="G45" s="6">
        <f>IF(Tabla13[[#This Row],[Meta 26 antes DPV]]=0,"",(Tabla13[[#This Row],[Meta 26 antes DPV]]-Tabla13[[#This Row],[Meta 26 Piso]])/Tabla13[[#This Row],[Meta 26 antes DPV]])</f>
        <v>0.1</v>
      </c>
      <c r="H45" s="5">
        <v>18</v>
      </c>
      <c r="I45" s="8">
        <v>0.7</v>
      </c>
      <c r="J45" s="8">
        <v>0.3</v>
      </c>
      <c r="K45" s="9">
        <f t="shared" si="0"/>
        <v>12.6</v>
      </c>
      <c r="L45" s="9">
        <f t="shared" si="0"/>
        <v>5.3999999999999995</v>
      </c>
      <c r="M45" s="9"/>
      <c r="N45" s="9">
        <v>5</v>
      </c>
      <c r="O45" s="9">
        <f>+Tabla13[[#This Row],[Avance Dígital]]+Tabla13[[#This Row],[Avance Vinculación]]</f>
        <v>5</v>
      </c>
    </row>
    <row r="46" spans="1:15" x14ac:dyDescent="0.25">
      <c r="A46" t="s">
        <v>38</v>
      </c>
      <c r="B46" t="s">
        <v>14</v>
      </c>
      <c r="C46" t="s">
        <v>31</v>
      </c>
      <c r="D46" t="s">
        <v>16</v>
      </c>
      <c r="E46" t="s">
        <v>51</v>
      </c>
      <c r="F46">
        <v>20</v>
      </c>
      <c r="G46" s="6">
        <f>IF(Tabla13[[#This Row],[Meta 26 antes DPV]]=0,"",(Tabla13[[#This Row],[Meta 26 antes DPV]]-Tabla13[[#This Row],[Meta 26 Piso]])/Tabla13[[#This Row],[Meta 26 antes DPV]])</f>
        <v>0.25</v>
      </c>
      <c r="H46" s="5">
        <v>15</v>
      </c>
      <c r="I46" s="8">
        <v>0.7</v>
      </c>
      <c r="J46" s="8">
        <v>0.3</v>
      </c>
      <c r="K46" s="9">
        <f t="shared" si="0"/>
        <v>10.5</v>
      </c>
      <c r="L46" s="9">
        <f t="shared" si="0"/>
        <v>4.5</v>
      </c>
      <c r="M46" s="9"/>
      <c r="N46" s="9"/>
      <c r="O46" s="9">
        <f>+Tabla13[[#This Row],[Avance Dígital]]+Tabla13[[#This Row],[Avance Vinculación]]</f>
        <v>0</v>
      </c>
    </row>
    <row r="47" spans="1:15" x14ac:dyDescent="0.25">
      <c r="A47" t="s">
        <v>38</v>
      </c>
      <c r="B47" t="s">
        <v>14</v>
      </c>
      <c r="C47" t="s">
        <v>31</v>
      </c>
      <c r="D47" t="s">
        <v>16</v>
      </c>
      <c r="E47" t="s">
        <v>52</v>
      </c>
      <c r="F47">
        <v>20</v>
      </c>
      <c r="G47" s="6">
        <f>IF(Tabla13[[#This Row],[Meta 26 antes DPV]]=0,"",(Tabla13[[#This Row],[Meta 26 antes DPV]]-Tabla13[[#This Row],[Meta 26 Piso]])/Tabla13[[#This Row],[Meta 26 antes DPV]])</f>
        <v>0.1</v>
      </c>
      <c r="H47" s="5">
        <v>18</v>
      </c>
      <c r="I47" s="8">
        <v>0.7</v>
      </c>
      <c r="J47" s="8">
        <v>0.3</v>
      </c>
      <c r="K47" s="9">
        <f t="shared" si="0"/>
        <v>12.6</v>
      </c>
      <c r="L47" s="9">
        <f t="shared" si="0"/>
        <v>5.3999999999999995</v>
      </c>
      <c r="M47" s="9"/>
      <c r="N47" s="9">
        <v>1</v>
      </c>
      <c r="O47" s="9">
        <f>+Tabla13[[#This Row],[Avance Dígital]]+Tabla13[[#This Row],[Avance Vinculación]]</f>
        <v>1</v>
      </c>
    </row>
    <row r="48" spans="1:15" x14ac:dyDescent="0.25">
      <c r="A48" t="s">
        <v>38</v>
      </c>
      <c r="B48" t="s">
        <v>23</v>
      </c>
      <c r="C48" t="s">
        <v>31</v>
      </c>
      <c r="D48" t="s">
        <v>16</v>
      </c>
      <c r="E48" t="s">
        <v>53</v>
      </c>
      <c r="F48">
        <v>18</v>
      </c>
      <c r="G48" s="6">
        <f>IF(Tabla13[[#This Row],[Meta 26 antes DPV]]=0,"",(Tabla13[[#This Row],[Meta 26 antes DPV]]-Tabla13[[#This Row],[Meta 26 Piso]])/Tabla13[[#This Row],[Meta 26 antes DPV]])</f>
        <v>0.16666666666666666</v>
      </c>
      <c r="H48" s="5">
        <v>15</v>
      </c>
      <c r="I48" s="8">
        <v>0.7</v>
      </c>
      <c r="J48" s="8">
        <v>0.3</v>
      </c>
      <c r="K48" s="9">
        <f t="shared" si="0"/>
        <v>10.5</v>
      </c>
      <c r="L48" s="9">
        <f t="shared" si="0"/>
        <v>4.5</v>
      </c>
      <c r="M48" s="9"/>
      <c r="N48" s="9"/>
      <c r="O48" s="9">
        <f>+Tabla13[[#This Row],[Avance Dígital]]+Tabla13[[#This Row],[Avance Vinculación]]</f>
        <v>0</v>
      </c>
    </row>
    <row r="49" spans="1:15" x14ac:dyDescent="0.25">
      <c r="A49" t="s">
        <v>38</v>
      </c>
      <c r="B49" t="s">
        <v>23</v>
      </c>
      <c r="C49" t="s">
        <v>31</v>
      </c>
      <c r="D49" t="s">
        <v>16</v>
      </c>
      <c r="E49" t="s">
        <v>54</v>
      </c>
      <c r="F49"/>
      <c r="G49" s="6"/>
      <c r="H49" s="5"/>
      <c r="I49" s="8">
        <v>0.7</v>
      </c>
      <c r="J49" s="8">
        <v>0.3</v>
      </c>
      <c r="K49" s="9">
        <f t="shared" si="0"/>
        <v>0</v>
      </c>
      <c r="L49" s="9">
        <f t="shared" si="0"/>
        <v>0</v>
      </c>
      <c r="M49" s="9"/>
      <c r="N49" s="9">
        <v>1</v>
      </c>
      <c r="O49" s="9">
        <f>+Tabla13[[#This Row],[Avance Dígital]]+Tabla13[[#This Row],[Avance Vinculación]]</f>
        <v>1</v>
      </c>
    </row>
    <row r="50" spans="1:15" x14ac:dyDescent="0.25">
      <c r="A50" t="s">
        <v>38</v>
      </c>
      <c r="B50" t="s">
        <v>23</v>
      </c>
      <c r="C50" t="s">
        <v>31</v>
      </c>
      <c r="D50" t="s">
        <v>16</v>
      </c>
      <c r="E50" t="s">
        <v>55</v>
      </c>
      <c r="F50"/>
      <c r="G50" s="6"/>
      <c r="H50" s="5"/>
      <c r="I50" s="8">
        <v>0.7</v>
      </c>
      <c r="J50" s="8">
        <v>0.3</v>
      </c>
      <c r="K50" s="9">
        <f t="shared" si="0"/>
        <v>0</v>
      </c>
      <c r="L50" s="9">
        <f t="shared" si="0"/>
        <v>0</v>
      </c>
      <c r="M50" s="9"/>
      <c r="N50" s="9">
        <v>2</v>
      </c>
      <c r="O50" s="9">
        <f>+Tabla13[[#This Row],[Avance Dígital]]+Tabla13[[#This Row],[Avance Vinculación]]</f>
        <v>2</v>
      </c>
    </row>
    <row r="51" spans="1:15" x14ac:dyDescent="0.25">
      <c r="A51" t="s">
        <v>56</v>
      </c>
      <c r="B51" t="s">
        <v>14</v>
      </c>
      <c r="C51" t="s">
        <v>15</v>
      </c>
      <c r="D51" t="s">
        <v>16</v>
      </c>
      <c r="E51" t="s">
        <v>17</v>
      </c>
      <c r="F51">
        <v>90</v>
      </c>
      <c r="G51" s="6">
        <f>IF(Tabla13[[#This Row],[Meta 26 antes DPV]]=0,"",(Tabla13[[#This Row],[Meta 26 antes DPV]]-Tabla13[[#This Row],[Meta 26 Piso]])/Tabla13[[#This Row],[Meta 26 antes DPV]])</f>
        <v>0.1</v>
      </c>
      <c r="H51" s="5">
        <v>81</v>
      </c>
      <c r="I51" s="8">
        <v>0.5</v>
      </c>
      <c r="J51" s="8">
        <v>0.5</v>
      </c>
      <c r="K51" s="9">
        <f t="shared" si="0"/>
        <v>40.5</v>
      </c>
      <c r="L51" s="9">
        <f t="shared" si="0"/>
        <v>40.5</v>
      </c>
      <c r="M51" s="9">
        <v>6</v>
      </c>
      <c r="N51" s="9">
        <v>5</v>
      </c>
      <c r="O51" s="9">
        <f>+Tabla13[[#This Row],[Avance Dígital]]+Tabla13[[#This Row],[Avance Vinculación]]</f>
        <v>11</v>
      </c>
    </row>
    <row r="52" spans="1:15" x14ac:dyDescent="0.25">
      <c r="A52" t="s">
        <v>56</v>
      </c>
      <c r="B52" t="s">
        <v>14</v>
      </c>
      <c r="C52" t="s">
        <v>15</v>
      </c>
      <c r="D52" t="s">
        <v>18</v>
      </c>
      <c r="E52" t="s">
        <v>17</v>
      </c>
      <c r="F52">
        <v>53</v>
      </c>
      <c r="G52" s="6">
        <f>IF(Tabla13[[#This Row],[Meta 26 antes DPV]]=0,"",(Tabla13[[#This Row],[Meta 26 antes DPV]]-Tabla13[[#This Row],[Meta 26 Piso]])/Tabla13[[#This Row],[Meta 26 antes DPV]])</f>
        <v>9.4339622641509441E-2</v>
      </c>
      <c r="H52" s="5">
        <v>48</v>
      </c>
      <c r="I52" s="8">
        <v>0.5</v>
      </c>
      <c r="J52" s="8">
        <v>0.5</v>
      </c>
      <c r="K52" s="9">
        <f t="shared" si="0"/>
        <v>24</v>
      </c>
      <c r="L52" s="9">
        <f t="shared" si="0"/>
        <v>24</v>
      </c>
      <c r="M52" s="9">
        <v>11</v>
      </c>
      <c r="N52" s="9">
        <v>6</v>
      </c>
      <c r="O52" s="9">
        <f>+Tabla13[[#This Row],[Avance Dígital]]+Tabla13[[#This Row],[Avance Vinculación]]</f>
        <v>17</v>
      </c>
    </row>
    <row r="53" spans="1:15" x14ac:dyDescent="0.25">
      <c r="A53" t="s">
        <v>56</v>
      </c>
      <c r="B53" t="s">
        <v>14</v>
      </c>
      <c r="C53" t="s">
        <v>15</v>
      </c>
      <c r="D53" t="s">
        <v>16</v>
      </c>
      <c r="E53" t="s">
        <v>20</v>
      </c>
      <c r="F53">
        <v>70</v>
      </c>
      <c r="G53" s="6">
        <f>IF(Tabla13[[#This Row],[Meta 26 antes DPV]]=0,"",(Tabla13[[#This Row],[Meta 26 antes DPV]]-Tabla13[[#This Row],[Meta 26 Piso]])/Tabla13[[#This Row],[Meta 26 antes DPV]])</f>
        <v>5.7142857142857141E-2</v>
      </c>
      <c r="H53" s="5">
        <v>66</v>
      </c>
      <c r="I53" s="8">
        <v>0.5</v>
      </c>
      <c r="J53" s="8">
        <v>0.5</v>
      </c>
      <c r="K53" s="9">
        <f t="shared" si="0"/>
        <v>33</v>
      </c>
      <c r="L53" s="9">
        <f t="shared" si="0"/>
        <v>33</v>
      </c>
      <c r="M53" s="9">
        <v>16</v>
      </c>
      <c r="N53" s="9">
        <v>18</v>
      </c>
      <c r="O53" s="9">
        <f>+Tabla13[[#This Row],[Avance Dígital]]+Tabla13[[#This Row],[Avance Vinculación]]</f>
        <v>34</v>
      </c>
    </row>
    <row r="54" spans="1:15" x14ac:dyDescent="0.25">
      <c r="A54" t="s">
        <v>56</v>
      </c>
      <c r="B54" t="s">
        <v>14</v>
      </c>
      <c r="C54" t="s">
        <v>15</v>
      </c>
      <c r="D54" t="s">
        <v>18</v>
      </c>
      <c r="E54" t="s">
        <v>20</v>
      </c>
      <c r="F54">
        <v>40</v>
      </c>
      <c r="G54" s="6">
        <f>IF(Tabla13[[#This Row],[Meta 26 antes DPV]]=0,"",(Tabla13[[#This Row],[Meta 26 antes DPV]]-Tabla13[[#This Row],[Meta 26 Piso]])/Tabla13[[#This Row],[Meta 26 antes DPV]])</f>
        <v>7.4999999999999997E-2</v>
      </c>
      <c r="H54" s="5">
        <v>37</v>
      </c>
      <c r="I54" s="8">
        <v>0.5</v>
      </c>
      <c r="J54" s="8">
        <v>0.5</v>
      </c>
      <c r="K54" s="9">
        <f t="shared" si="0"/>
        <v>18.5</v>
      </c>
      <c r="L54" s="9">
        <f t="shared" si="0"/>
        <v>18.5</v>
      </c>
      <c r="M54" s="9">
        <v>10</v>
      </c>
      <c r="N54" s="9">
        <v>8</v>
      </c>
      <c r="O54" s="9">
        <f>+Tabla13[[#This Row],[Avance Dígital]]+Tabla13[[#This Row],[Avance Vinculación]]</f>
        <v>18</v>
      </c>
    </row>
    <row r="55" spans="1:15" x14ac:dyDescent="0.25">
      <c r="A55" t="s">
        <v>56</v>
      </c>
      <c r="B55" t="s">
        <v>14</v>
      </c>
      <c r="C55" t="s">
        <v>15</v>
      </c>
      <c r="D55" t="s">
        <v>16</v>
      </c>
      <c r="E55" t="s">
        <v>25</v>
      </c>
      <c r="F55">
        <v>30</v>
      </c>
      <c r="G55" s="6">
        <f>IF(Tabla13[[#This Row],[Meta 26 antes DPV]]=0,"",(Tabla13[[#This Row],[Meta 26 antes DPV]]-Tabla13[[#This Row],[Meta 26 Piso]])/Tabla13[[#This Row],[Meta 26 antes DPV]])</f>
        <v>0.13333333333333333</v>
      </c>
      <c r="H55" s="5">
        <v>26</v>
      </c>
      <c r="I55" s="8">
        <v>0.5</v>
      </c>
      <c r="J55" s="8">
        <v>0.5</v>
      </c>
      <c r="K55" s="9">
        <f t="shared" si="0"/>
        <v>13</v>
      </c>
      <c r="L55" s="9">
        <f t="shared" si="0"/>
        <v>13</v>
      </c>
      <c r="M55" s="9">
        <v>2</v>
      </c>
      <c r="N55" s="9">
        <v>5</v>
      </c>
      <c r="O55" s="9">
        <f>+Tabla13[[#This Row],[Avance Dígital]]+Tabla13[[#This Row],[Avance Vinculación]]</f>
        <v>7</v>
      </c>
    </row>
    <row r="56" spans="1:15" x14ac:dyDescent="0.25">
      <c r="A56" t="s">
        <v>56</v>
      </c>
      <c r="B56" t="s">
        <v>14</v>
      </c>
      <c r="C56" t="s">
        <v>15</v>
      </c>
      <c r="D56" t="s">
        <v>18</v>
      </c>
      <c r="E56" t="s">
        <v>25</v>
      </c>
      <c r="F56">
        <v>25</v>
      </c>
      <c r="G56" s="6">
        <f>IF(Tabla13[[#This Row],[Meta 26 antes DPV]]=0,"",(Tabla13[[#This Row],[Meta 26 antes DPV]]-Tabla13[[#This Row],[Meta 26 Piso]])/Tabla13[[#This Row],[Meta 26 antes DPV]])</f>
        <v>0.12</v>
      </c>
      <c r="H56" s="5">
        <v>22</v>
      </c>
      <c r="I56" s="8">
        <v>0.5</v>
      </c>
      <c r="J56" s="8">
        <v>0.5</v>
      </c>
      <c r="K56" s="9">
        <f t="shared" si="0"/>
        <v>11</v>
      </c>
      <c r="L56" s="9">
        <f t="shared" si="0"/>
        <v>11</v>
      </c>
      <c r="M56" s="9">
        <v>3</v>
      </c>
      <c r="N56" s="9">
        <v>1</v>
      </c>
      <c r="O56" s="9">
        <f>+Tabla13[[#This Row],[Avance Dígital]]+Tabla13[[#This Row],[Avance Vinculación]]</f>
        <v>4</v>
      </c>
    </row>
    <row r="57" spans="1:15" x14ac:dyDescent="0.25">
      <c r="A57" t="s">
        <v>56</v>
      </c>
      <c r="B57" t="s">
        <v>14</v>
      </c>
      <c r="C57" t="s">
        <v>15</v>
      </c>
      <c r="D57" t="s">
        <v>16</v>
      </c>
      <c r="E57" t="s">
        <v>21</v>
      </c>
      <c r="F57">
        <v>45</v>
      </c>
      <c r="G57" s="6">
        <f>IF(Tabla13[[#This Row],[Meta 26 antes DPV]]=0,"",(Tabla13[[#This Row],[Meta 26 antes DPV]]-Tabla13[[#This Row],[Meta 26 Piso]])/Tabla13[[#This Row],[Meta 26 antes DPV]])</f>
        <v>8.8888888888888892E-2</v>
      </c>
      <c r="H57" s="5">
        <v>41</v>
      </c>
      <c r="I57" s="8">
        <v>0.5</v>
      </c>
      <c r="J57" s="8">
        <v>0.5</v>
      </c>
      <c r="K57" s="9">
        <f t="shared" si="0"/>
        <v>20.5</v>
      </c>
      <c r="L57" s="9">
        <f t="shared" si="0"/>
        <v>20.5</v>
      </c>
      <c r="M57" s="9">
        <v>9</v>
      </c>
      <c r="N57" s="9">
        <v>6</v>
      </c>
      <c r="O57" s="9">
        <f>+Tabla13[[#This Row],[Avance Dígital]]+Tabla13[[#This Row],[Avance Vinculación]]</f>
        <v>15</v>
      </c>
    </row>
    <row r="58" spans="1:15" x14ac:dyDescent="0.25">
      <c r="A58" t="s">
        <v>56</v>
      </c>
      <c r="B58" t="s">
        <v>14</v>
      </c>
      <c r="C58" t="s">
        <v>15</v>
      </c>
      <c r="D58" t="s">
        <v>18</v>
      </c>
      <c r="E58" t="s">
        <v>21</v>
      </c>
      <c r="F58">
        <v>30</v>
      </c>
      <c r="G58" s="6">
        <f>IF(Tabla13[[#This Row],[Meta 26 antes DPV]]=0,"",(Tabla13[[#This Row],[Meta 26 antes DPV]]-Tabla13[[#This Row],[Meta 26 Piso]])/Tabla13[[#This Row],[Meta 26 antes DPV]])</f>
        <v>0.16666666666666666</v>
      </c>
      <c r="H58" s="5">
        <v>25</v>
      </c>
      <c r="I58" s="8">
        <v>0.5</v>
      </c>
      <c r="J58" s="8">
        <v>0.5</v>
      </c>
      <c r="K58" s="9">
        <f t="shared" si="0"/>
        <v>12.5</v>
      </c>
      <c r="L58" s="9">
        <f t="shared" si="0"/>
        <v>12.5</v>
      </c>
      <c r="M58" s="9">
        <v>3</v>
      </c>
      <c r="N58" s="9">
        <v>3</v>
      </c>
      <c r="O58" s="9">
        <f>+Tabla13[[#This Row],[Avance Dígital]]+Tabla13[[#This Row],[Avance Vinculación]]</f>
        <v>6</v>
      </c>
    </row>
    <row r="59" spans="1:15" x14ac:dyDescent="0.25">
      <c r="A59" t="s">
        <v>56</v>
      </c>
      <c r="B59" t="s">
        <v>14</v>
      </c>
      <c r="C59" t="s">
        <v>15</v>
      </c>
      <c r="D59" t="s">
        <v>16</v>
      </c>
      <c r="E59" t="s">
        <v>39</v>
      </c>
      <c r="F59">
        <v>55</v>
      </c>
      <c r="G59" s="6">
        <f>IF(Tabla13[[#This Row],[Meta 26 antes DPV]]=0,"",(Tabla13[[#This Row],[Meta 26 antes DPV]]-Tabla13[[#This Row],[Meta 26 Piso]])/Tabla13[[#This Row],[Meta 26 antes DPV]])</f>
        <v>9.0909090909090912E-2</v>
      </c>
      <c r="H59" s="5">
        <v>50</v>
      </c>
      <c r="I59" s="8">
        <v>0.5</v>
      </c>
      <c r="J59" s="8">
        <v>0.5</v>
      </c>
      <c r="K59" s="9">
        <f t="shared" si="0"/>
        <v>25</v>
      </c>
      <c r="L59" s="9">
        <f t="shared" si="0"/>
        <v>25</v>
      </c>
      <c r="M59" s="9">
        <v>7</v>
      </c>
      <c r="N59" s="9">
        <v>2</v>
      </c>
      <c r="O59" s="9">
        <f>+Tabla13[[#This Row],[Avance Dígital]]+Tabla13[[#This Row],[Avance Vinculación]]</f>
        <v>9</v>
      </c>
    </row>
    <row r="60" spans="1:15" x14ac:dyDescent="0.25">
      <c r="A60" t="s">
        <v>56</v>
      </c>
      <c r="B60" t="s">
        <v>14</v>
      </c>
      <c r="C60" t="s">
        <v>15</v>
      </c>
      <c r="D60" t="s">
        <v>18</v>
      </c>
      <c r="E60" t="s">
        <v>39</v>
      </c>
      <c r="F60">
        <v>23</v>
      </c>
      <c r="G60" s="6">
        <f>IF(Tabla13[[#This Row],[Meta 26 antes DPV]]=0,"",(Tabla13[[#This Row],[Meta 26 antes DPV]]-Tabla13[[#This Row],[Meta 26 Piso]])/Tabla13[[#This Row],[Meta 26 antes DPV]])</f>
        <v>0.21739130434782608</v>
      </c>
      <c r="H60" s="5">
        <v>18</v>
      </c>
      <c r="I60" s="8">
        <v>0.5</v>
      </c>
      <c r="J60" s="8">
        <v>0.5</v>
      </c>
      <c r="K60" s="9">
        <f t="shared" si="0"/>
        <v>9</v>
      </c>
      <c r="L60" s="9">
        <f t="shared" si="0"/>
        <v>9</v>
      </c>
      <c r="M60" s="9">
        <v>1</v>
      </c>
      <c r="N60" s="9">
        <v>0</v>
      </c>
      <c r="O60" s="9">
        <f>+Tabla13[[#This Row],[Avance Dígital]]+Tabla13[[#This Row],[Avance Vinculación]]</f>
        <v>1</v>
      </c>
    </row>
    <row r="61" spans="1:15" x14ac:dyDescent="0.25">
      <c r="A61" t="s">
        <v>56</v>
      </c>
      <c r="B61" t="s">
        <v>14</v>
      </c>
      <c r="C61" t="s">
        <v>15</v>
      </c>
      <c r="D61" t="s">
        <v>16</v>
      </c>
      <c r="E61" t="s">
        <v>19</v>
      </c>
      <c r="F61">
        <v>30</v>
      </c>
      <c r="G61" s="6">
        <f>IF(Tabla13[[#This Row],[Meta 26 antes DPV]]=0,"",(Tabla13[[#This Row],[Meta 26 antes DPV]]-Tabla13[[#This Row],[Meta 26 Piso]])/Tabla13[[#This Row],[Meta 26 antes DPV]])</f>
        <v>0.16666666666666666</v>
      </c>
      <c r="H61" s="5">
        <v>25</v>
      </c>
      <c r="I61" s="8">
        <v>0.5</v>
      </c>
      <c r="J61" s="8">
        <v>0.5</v>
      </c>
      <c r="K61" s="9">
        <f t="shared" si="0"/>
        <v>12.5</v>
      </c>
      <c r="L61" s="9">
        <f t="shared" si="0"/>
        <v>12.5</v>
      </c>
      <c r="M61" s="9">
        <v>4</v>
      </c>
      <c r="N61" s="9">
        <v>6</v>
      </c>
      <c r="O61" s="9">
        <f>+Tabla13[[#This Row],[Avance Dígital]]+Tabla13[[#This Row],[Avance Vinculación]]</f>
        <v>10</v>
      </c>
    </row>
    <row r="62" spans="1:15" x14ac:dyDescent="0.25">
      <c r="A62" t="s">
        <v>56</v>
      </c>
      <c r="B62" t="s">
        <v>14</v>
      </c>
      <c r="C62" t="s">
        <v>15</v>
      </c>
      <c r="D62" t="s">
        <v>18</v>
      </c>
      <c r="E62" t="s">
        <v>19</v>
      </c>
      <c r="F62">
        <v>25</v>
      </c>
      <c r="G62" s="6">
        <f>IF(Tabla13[[#This Row],[Meta 26 antes DPV]]=0,"",(Tabla13[[#This Row],[Meta 26 antes DPV]]-Tabla13[[#This Row],[Meta 26 Piso]])/Tabla13[[#This Row],[Meta 26 antes DPV]])</f>
        <v>0.16</v>
      </c>
      <c r="H62" s="5">
        <v>21</v>
      </c>
      <c r="I62" s="8">
        <v>0.5</v>
      </c>
      <c r="J62" s="8">
        <v>0.5</v>
      </c>
      <c r="K62" s="9">
        <f t="shared" si="0"/>
        <v>10.5</v>
      </c>
      <c r="L62" s="9">
        <f t="shared" si="0"/>
        <v>10.5</v>
      </c>
      <c r="M62" s="9">
        <v>1</v>
      </c>
      <c r="N62" s="9">
        <v>3</v>
      </c>
      <c r="O62" s="9">
        <f>+Tabla13[[#This Row],[Avance Dígital]]+Tabla13[[#This Row],[Avance Vinculación]]</f>
        <v>4</v>
      </c>
    </row>
    <row r="63" spans="1:15" x14ac:dyDescent="0.25">
      <c r="A63" t="s">
        <v>56</v>
      </c>
      <c r="B63" t="s">
        <v>14</v>
      </c>
      <c r="C63" t="s">
        <v>15</v>
      </c>
      <c r="D63" t="s">
        <v>16</v>
      </c>
      <c r="E63" t="s">
        <v>22</v>
      </c>
      <c r="F63">
        <v>45</v>
      </c>
      <c r="G63" s="6">
        <f>IF(Tabla13[[#This Row],[Meta 26 antes DPV]]=0,"",(Tabla13[[#This Row],[Meta 26 antes DPV]]-Tabla13[[#This Row],[Meta 26 Piso]])/Tabla13[[#This Row],[Meta 26 antes DPV]])</f>
        <v>0.1111111111111111</v>
      </c>
      <c r="H63" s="5">
        <v>40</v>
      </c>
      <c r="I63" s="8">
        <v>0.5</v>
      </c>
      <c r="J63" s="8">
        <v>0.5</v>
      </c>
      <c r="K63" s="9">
        <f t="shared" si="0"/>
        <v>20</v>
      </c>
      <c r="L63" s="9">
        <f t="shared" si="0"/>
        <v>20</v>
      </c>
      <c r="M63" s="9">
        <v>7</v>
      </c>
      <c r="N63" s="9">
        <v>12</v>
      </c>
      <c r="O63" s="9">
        <f>+Tabla13[[#This Row],[Avance Dígital]]+Tabla13[[#This Row],[Avance Vinculación]]</f>
        <v>19</v>
      </c>
    </row>
    <row r="64" spans="1:15" x14ac:dyDescent="0.25">
      <c r="A64" t="s">
        <v>56</v>
      </c>
      <c r="B64" t="s">
        <v>14</v>
      </c>
      <c r="C64" t="s">
        <v>15</v>
      </c>
      <c r="D64" t="s">
        <v>18</v>
      </c>
      <c r="E64" t="s">
        <v>22</v>
      </c>
      <c r="F64">
        <v>31</v>
      </c>
      <c r="G64" s="6">
        <f>IF(Tabla13[[#This Row],[Meta 26 antes DPV]]=0,"",(Tabla13[[#This Row],[Meta 26 antes DPV]]-Tabla13[[#This Row],[Meta 26 Piso]])/Tabla13[[#This Row],[Meta 26 antes DPV]])</f>
        <v>0.12903225806451613</v>
      </c>
      <c r="H64" s="5">
        <v>27</v>
      </c>
      <c r="I64" s="8">
        <v>0.5</v>
      </c>
      <c r="J64" s="8">
        <v>0.5</v>
      </c>
      <c r="K64" s="9">
        <f t="shared" si="0"/>
        <v>13.5</v>
      </c>
      <c r="L64" s="9">
        <f t="shared" si="0"/>
        <v>13.5</v>
      </c>
      <c r="M64" s="9">
        <v>1</v>
      </c>
      <c r="N64" s="9">
        <v>3</v>
      </c>
      <c r="O64" s="9">
        <f>+Tabla13[[#This Row],[Avance Dígital]]+Tabla13[[#This Row],[Avance Vinculación]]</f>
        <v>4</v>
      </c>
    </row>
    <row r="65" spans="1:15" x14ac:dyDescent="0.25">
      <c r="A65" t="s">
        <v>56</v>
      </c>
      <c r="B65" t="s">
        <v>14</v>
      </c>
      <c r="C65" t="s">
        <v>15</v>
      </c>
      <c r="D65" t="s">
        <v>16</v>
      </c>
      <c r="E65" t="s">
        <v>40</v>
      </c>
      <c r="F65">
        <v>32</v>
      </c>
      <c r="G65" s="6">
        <f>IF(Tabla13[[#This Row],[Meta 26 antes DPV]]=0,"",(Tabla13[[#This Row],[Meta 26 antes DPV]]-Tabla13[[#This Row],[Meta 26 Piso]])/Tabla13[[#This Row],[Meta 26 antes DPV]])</f>
        <v>0.125</v>
      </c>
      <c r="H65" s="5">
        <v>28</v>
      </c>
      <c r="I65" s="8">
        <v>0.5</v>
      </c>
      <c r="J65" s="8">
        <v>0.5</v>
      </c>
      <c r="K65" s="9">
        <f t="shared" si="0"/>
        <v>14</v>
      </c>
      <c r="L65" s="9">
        <f t="shared" si="0"/>
        <v>14</v>
      </c>
      <c r="M65" s="9">
        <v>1</v>
      </c>
      <c r="N65" s="9">
        <v>4</v>
      </c>
      <c r="O65" s="9">
        <f>+Tabla13[[#This Row],[Avance Dígital]]+Tabla13[[#This Row],[Avance Vinculación]]</f>
        <v>5</v>
      </c>
    </row>
    <row r="66" spans="1:15" x14ac:dyDescent="0.25">
      <c r="A66" t="s">
        <v>56</v>
      </c>
      <c r="B66" t="s">
        <v>14</v>
      </c>
      <c r="C66" t="s">
        <v>15</v>
      </c>
      <c r="D66" t="s">
        <v>16</v>
      </c>
      <c r="E66" t="s">
        <v>29</v>
      </c>
      <c r="F66">
        <v>29</v>
      </c>
      <c r="G66" s="6">
        <f>IF(Tabla13[[#This Row],[Meta 26 antes DPV]]=0,"",(Tabla13[[#This Row],[Meta 26 antes DPV]]-Tabla13[[#This Row],[Meta 26 Piso]])/Tabla13[[#This Row],[Meta 26 antes DPV]])</f>
        <v>0.13793103448275862</v>
      </c>
      <c r="H66" s="5">
        <v>25</v>
      </c>
      <c r="I66" s="8">
        <v>0.5</v>
      </c>
      <c r="J66" s="8">
        <v>0.5</v>
      </c>
      <c r="K66" s="9">
        <f t="shared" si="0"/>
        <v>12.5</v>
      </c>
      <c r="L66" s="9">
        <f t="shared" si="0"/>
        <v>12.5</v>
      </c>
      <c r="M66" s="9">
        <v>1</v>
      </c>
      <c r="N66" s="9">
        <v>4</v>
      </c>
      <c r="O66" s="9">
        <f>+Tabla13[[#This Row],[Avance Dígital]]+Tabla13[[#This Row],[Avance Vinculación]]</f>
        <v>5</v>
      </c>
    </row>
    <row r="67" spans="1:15" x14ac:dyDescent="0.25">
      <c r="A67" t="s">
        <v>56</v>
      </c>
      <c r="B67" t="s">
        <v>23</v>
      </c>
      <c r="C67" t="s">
        <v>15</v>
      </c>
      <c r="D67" t="s">
        <v>16</v>
      </c>
      <c r="E67" t="s">
        <v>57</v>
      </c>
      <c r="F67"/>
      <c r="G67" s="6"/>
      <c r="H67" s="5"/>
      <c r="I67" s="8">
        <v>0.5</v>
      </c>
      <c r="J67" s="8">
        <v>0.5</v>
      </c>
      <c r="K67" s="9">
        <f t="shared" si="0"/>
        <v>0</v>
      </c>
      <c r="L67" s="9">
        <f t="shared" si="0"/>
        <v>0</v>
      </c>
      <c r="M67" s="9"/>
      <c r="N67" s="9"/>
      <c r="O67" s="9">
        <f>+Tabla13[[#This Row],[Avance Dígital]]+Tabla13[[#This Row],[Avance Vinculación]]</f>
        <v>0</v>
      </c>
    </row>
    <row r="68" spans="1:15" x14ac:dyDescent="0.25">
      <c r="A68" t="s">
        <v>56</v>
      </c>
      <c r="B68" t="s">
        <v>23</v>
      </c>
      <c r="C68" t="s">
        <v>15</v>
      </c>
      <c r="D68" t="s">
        <v>16</v>
      </c>
      <c r="E68" t="s">
        <v>24</v>
      </c>
      <c r="F68">
        <v>30</v>
      </c>
      <c r="G68" s="6">
        <f>IF(Tabla13[[#This Row],[Meta 26 antes DPV]]=0,"",(Tabla13[[#This Row],[Meta 26 antes DPV]]-Tabla13[[#This Row],[Meta 26 Piso]])/Tabla13[[#This Row],[Meta 26 antes DPV]])</f>
        <v>0.16666666666666666</v>
      </c>
      <c r="H68" s="5">
        <v>25</v>
      </c>
      <c r="I68" s="8">
        <v>0.5</v>
      </c>
      <c r="J68" s="8">
        <v>0.5</v>
      </c>
      <c r="K68" s="9">
        <f t="shared" ref="K68:L131" si="1">IFERROR($H68*I68,"")</f>
        <v>12.5</v>
      </c>
      <c r="L68" s="9">
        <f t="shared" si="1"/>
        <v>12.5</v>
      </c>
      <c r="M68" s="9">
        <v>5</v>
      </c>
      <c r="N68" s="9">
        <v>1</v>
      </c>
      <c r="O68" s="9">
        <f>+Tabla13[[#This Row],[Avance Dígital]]+Tabla13[[#This Row],[Avance Vinculación]]</f>
        <v>6</v>
      </c>
    </row>
    <row r="69" spans="1:15" x14ac:dyDescent="0.25">
      <c r="A69" t="s">
        <v>56</v>
      </c>
      <c r="B69" t="s">
        <v>23</v>
      </c>
      <c r="C69" t="s">
        <v>15</v>
      </c>
      <c r="D69" t="s">
        <v>16</v>
      </c>
      <c r="E69" t="s">
        <v>58</v>
      </c>
      <c r="F69">
        <v>25</v>
      </c>
      <c r="G69" s="6">
        <f>IF(Tabla13[[#This Row],[Meta 26 antes DPV]]=0,"",(Tabla13[[#This Row],[Meta 26 antes DPV]]-Tabla13[[#This Row],[Meta 26 Piso]])/Tabla13[[#This Row],[Meta 26 antes DPV]])</f>
        <v>0.2</v>
      </c>
      <c r="H69" s="5">
        <v>20</v>
      </c>
      <c r="I69" s="8">
        <v>0.5</v>
      </c>
      <c r="J69" s="8">
        <v>0.5</v>
      </c>
      <c r="K69" s="9">
        <f t="shared" si="1"/>
        <v>10</v>
      </c>
      <c r="L69" s="9">
        <f t="shared" si="1"/>
        <v>10</v>
      </c>
      <c r="M69" s="9">
        <v>1</v>
      </c>
      <c r="N69" s="9">
        <v>4</v>
      </c>
      <c r="O69" s="9">
        <f>+Tabla13[[#This Row],[Avance Dígital]]+Tabla13[[#This Row],[Avance Vinculación]]</f>
        <v>5</v>
      </c>
    </row>
    <row r="70" spans="1:15" x14ac:dyDescent="0.25">
      <c r="A70" t="s">
        <v>56</v>
      </c>
      <c r="B70" t="s">
        <v>23</v>
      </c>
      <c r="C70" t="s">
        <v>15</v>
      </c>
      <c r="D70" t="s">
        <v>18</v>
      </c>
      <c r="E70" t="s">
        <v>44</v>
      </c>
      <c r="F70">
        <v>22</v>
      </c>
      <c r="G70" s="6">
        <f>IF(Tabla13[[#This Row],[Meta 26 antes DPV]]=0,"",(Tabla13[[#This Row],[Meta 26 antes DPV]]-Tabla13[[#This Row],[Meta 26 Piso]])/Tabla13[[#This Row],[Meta 26 antes DPV]])</f>
        <v>9.0909090909090912E-2</v>
      </c>
      <c r="H70" s="5">
        <v>20</v>
      </c>
      <c r="I70" s="8">
        <v>0.5</v>
      </c>
      <c r="J70" s="8">
        <v>0.5</v>
      </c>
      <c r="K70" s="9">
        <f t="shared" si="1"/>
        <v>10</v>
      </c>
      <c r="L70" s="9">
        <f t="shared" si="1"/>
        <v>10</v>
      </c>
      <c r="M70" s="9">
        <v>0</v>
      </c>
      <c r="N70" s="9">
        <v>0</v>
      </c>
      <c r="O70" s="9">
        <f>+Tabla13[[#This Row],[Avance Dígital]]+Tabla13[[#This Row],[Avance Vinculación]]</f>
        <v>0</v>
      </c>
    </row>
    <row r="71" spans="1:15" x14ac:dyDescent="0.25">
      <c r="A71" t="s">
        <v>56</v>
      </c>
      <c r="B71" t="s">
        <v>34</v>
      </c>
      <c r="C71" t="s">
        <v>15</v>
      </c>
      <c r="D71" t="s">
        <v>16</v>
      </c>
      <c r="E71" t="s">
        <v>59</v>
      </c>
      <c r="F71">
        <v>25</v>
      </c>
      <c r="G71" s="6">
        <f>IF(Tabla13[[#This Row],[Meta 26 antes DPV]]=0,"",(Tabla13[[#This Row],[Meta 26 antes DPV]]-Tabla13[[#This Row],[Meta 26 Piso]])/Tabla13[[#This Row],[Meta 26 antes DPV]])</f>
        <v>0</v>
      </c>
      <c r="H71" s="5">
        <v>25</v>
      </c>
      <c r="I71" s="8">
        <v>0.5</v>
      </c>
      <c r="J71" s="8">
        <v>0.5</v>
      </c>
      <c r="K71" s="9">
        <f t="shared" si="1"/>
        <v>12.5</v>
      </c>
      <c r="L71" s="9">
        <f t="shared" si="1"/>
        <v>12.5</v>
      </c>
      <c r="M71" s="9">
        <v>5</v>
      </c>
      <c r="N71" s="9">
        <v>2</v>
      </c>
      <c r="O71" s="9">
        <f>+Tabla13[[#This Row],[Avance Dígital]]+Tabla13[[#This Row],[Avance Vinculación]]</f>
        <v>7</v>
      </c>
    </row>
    <row r="72" spans="1:15" x14ac:dyDescent="0.25">
      <c r="A72" t="s">
        <v>56</v>
      </c>
      <c r="B72" t="s">
        <v>34</v>
      </c>
      <c r="C72" t="s">
        <v>15</v>
      </c>
      <c r="D72" t="s">
        <v>16</v>
      </c>
      <c r="E72" t="s">
        <v>60</v>
      </c>
      <c r="F72">
        <v>25</v>
      </c>
      <c r="G72" s="6">
        <f>IF(Tabla13[[#This Row],[Meta 26 antes DPV]]=0,"",(Tabla13[[#This Row],[Meta 26 antes DPV]]-Tabla13[[#This Row],[Meta 26 Piso]])/Tabla13[[#This Row],[Meta 26 antes DPV]])</f>
        <v>0</v>
      </c>
      <c r="H72" s="5">
        <v>25</v>
      </c>
      <c r="I72" s="8">
        <v>0.5</v>
      </c>
      <c r="J72" s="8">
        <v>0.5</v>
      </c>
      <c r="K72" s="9">
        <f t="shared" si="1"/>
        <v>12.5</v>
      </c>
      <c r="L72" s="9">
        <f t="shared" si="1"/>
        <v>12.5</v>
      </c>
      <c r="M72" s="9">
        <v>1</v>
      </c>
      <c r="N72" s="9"/>
      <c r="O72" s="9">
        <f>+Tabla13[[#This Row],[Avance Dígital]]+Tabla13[[#This Row],[Avance Vinculación]]</f>
        <v>1</v>
      </c>
    </row>
    <row r="73" spans="1:15" x14ac:dyDescent="0.25">
      <c r="A73" t="s">
        <v>56</v>
      </c>
      <c r="B73" t="s">
        <v>27</v>
      </c>
      <c r="C73" t="s">
        <v>15</v>
      </c>
      <c r="D73" t="s">
        <v>16</v>
      </c>
      <c r="E73" t="s">
        <v>61</v>
      </c>
      <c r="F73"/>
      <c r="G73" s="6"/>
      <c r="H73" s="5"/>
      <c r="I73" s="8">
        <v>0.5</v>
      </c>
      <c r="J73" s="8">
        <v>0.5</v>
      </c>
      <c r="K73" s="9">
        <f t="shared" si="1"/>
        <v>0</v>
      </c>
      <c r="L73" s="9">
        <f t="shared" si="1"/>
        <v>0</v>
      </c>
      <c r="M73" s="9">
        <v>1</v>
      </c>
      <c r="N73" s="9">
        <v>1</v>
      </c>
      <c r="O73" s="9">
        <f>+Tabla13[[#This Row],[Avance Dígital]]+Tabla13[[#This Row],[Avance Vinculación]]</f>
        <v>2</v>
      </c>
    </row>
    <row r="74" spans="1:15" x14ac:dyDescent="0.25">
      <c r="A74" t="s">
        <v>56</v>
      </c>
      <c r="B74" t="s">
        <v>27</v>
      </c>
      <c r="C74" t="s">
        <v>15</v>
      </c>
      <c r="D74" t="s">
        <v>16</v>
      </c>
      <c r="E74" t="s">
        <v>62</v>
      </c>
      <c r="F74"/>
      <c r="G74" s="6"/>
      <c r="H74" s="5"/>
      <c r="I74" s="8">
        <v>0.5</v>
      </c>
      <c r="J74" s="8">
        <v>0.5</v>
      </c>
      <c r="K74" s="9">
        <f t="shared" si="1"/>
        <v>0</v>
      </c>
      <c r="L74" s="9">
        <f t="shared" si="1"/>
        <v>0</v>
      </c>
      <c r="M74" s="9">
        <v>1</v>
      </c>
      <c r="N74" s="9">
        <v>0</v>
      </c>
      <c r="O74" s="9">
        <f>+Tabla13[[#This Row],[Avance Dígital]]+Tabla13[[#This Row],[Avance Vinculación]]</f>
        <v>1</v>
      </c>
    </row>
    <row r="75" spans="1:15" x14ac:dyDescent="0.25">
      <c r="A75" t="s">
        <v>56</v>
      </c>
      <c r="B75" t="s">
        <v>27</v>
      </c>
      <c r="C75" t="s">
        <v>15</v>
      </c>
      <c r="D75" t="s">
        <v>16</v>
      </c>
      <c r="E75" t="s">
        <v>63</v>
      </c>
      <c r="F75"/>
      <c r="G75" s="6"/>
      <c r="H75" s="5"/>
      <c r="I75" s="8">
        <v>0.5</v>
      </c>
      <c r="J75" s="8">
        <v>0.5</v>
      </c>
      <c r="K75" s="9">
        <f t="shared" si="1"/>
        <v>0</v>
      </c>
      <c r="L75" s="9">
        <f t="shared" si="1"/>
        <v>0</v>
      </c>
      <c r="M75" s="9">
        <v>0</v>
      </c>
      <c r="N75" s="9">
        <v>0</v>
      </c>
      <c r="O75" s="9">
        <f>+Tabla13[[#This Row],[Avance Dígital]]+Tabla13[[#This Row],[Avance Vinculación]]</f>
        <v>0</v>
      </c>
    </row>
    <row r="76" spans="1:15" x14ac:dyDescent="0.25">
      <c r="A76" t="s">
        <v>56</v>
      </c>
      <c r="B76" t="s">
        <v>27</v>
      </c>
      <c r="C76" t="s">
        <v>15</v>
      </c>
      <c r="D76" t="s">
        <v>16</v>
      </c>
      <c r="E76" t="s">
        <v>64</v>
      </c>
      <c r="F76"/>
      <c r="G76" s="6"/>
      <c r="H76" s="5"/>
      <c r="I76" s="8">
        <v>0.5</v>
      </c>
      <c r="J76" s="8">
        <v>0.5</v>
      </c>
      <c r="K76" s="9">
        <f t="shared" si="1"/>
        <v>0</v>
      </c>
      <c r="L76" s="9">
        <f t="shared" si="1"/>
        <v>0</v>
      </c>
      <c r="M76" s="9">
        <v>0</v>
      </c>
      <c r="N76" s="9">
        <v>2</v>
      </c>
      <c r="O76" s="9">
        <f>+Tabla13[[#This Row],[Avance Dígital]]+Tabla13[[#This Row],[Avance Vinculación]]</f>
        <v>2</v>
      </c>
    </row>
    <row r="77" spans="1:15" x14ac:dyDescent="0.25">
      <c r="A77" t="s">
        <v>56</v>
      </c>
      <c r="B77" t="s">
        <v>27</v>
      </c>
      <c r="C77" t="s">
        <v>15</v>
      </c>
      <c r="D77" t="s">
        <v>16</v>
      </c>
      <c r="E77" t="s">
        <v>65</v>
      </c>
      <c r="F77"/>
      <c r="G77" s="6"/>
      <c r="H77" s="5"/>
      <c r="I77" s="8">
        <v>0.5</v>
      </c>
      <c r="J77" s="8">
        <v>0.5</v>
      </c>
      <c r="K77" s="9">
        <f t="shared" si="1"/>
        <v>0</v>
      </c>
      <c r="L77" s="9">
        <f t="shared" si="1"/>
        <v>0</v>
      </c>
      <c r="M77" s="9">
        <v>0</v>
      </c>
      <c r="N77" s="9">
        <v>0</v>
      </c>
      <c r="O77" s="9">
        <f>+Tabla13[[#This Row],[Avance Dígital]]+Tabla13[[#This Row],[Avance Vinculación]]</f>
        <v>0</v>
      </c>
    </row>
    <row r="78" spans="1:15" x14ac:dyDescent="0.25">
      <c r="A78" t="s">
        <v>56</v>
      </c>
      <c r="B78" t="s">
        <v>27</v>
      </c>
      <c r="C78" t="s">
        <v>15</v>
      </c>
      <c r="D78" t="s">
        <v>16</v>
      </c>
      <c r="E78" t="s">
        <v>66</v>
      </c>
      <c r="F78"/>
      <c r="G78" s="6"/>
      <c r="H78" s="5"/>
      <c r="I78" s="8">
        <v>0.5</v>
      </c>
      <c r="J78" s="8">
        <v>0.5</v>
      </c>
      <c r="K78" s="9">
        <f t="shared" si="1"/>
        <v>0</v>
      </c>
      <c r="L78" s="9">
        <f t="shared" si="1"/>
        <v>0</v>
      </c>
      <c r="M78" s="9">
        <v>0</v>
      </c>
      <c r="N78" s="9">
        <v>0</v>
      </c>
      <c r="O78" s="9">
        <f>+Tabla13[[#This Row],[Avance Dígital]]+Tabla13[[#This Row],[Avance Vinculación]]</f>
        <v>0</v>
      </c>
    </row>
    <row r="79" spans="1:15" x14ac:dyDescent="0.25">
      <c r="A79" t="s">
        <v>56</v>
      </c>
      <c r="B79" t="s">
        <v>27</v>
      </c>
      <c r="C79" t="s">
        <v>15</v>
      </c>
      <c r="D79" t="s">
        <v>16</v>
      </c>
      <c r="E79" t="s">
        <v>67</v>
      </c>
      <c r="F79"/>
      <c r="G79" s="6"/>
      <c r="H79" s="5"/>
      <c r="I79" s="8">
        <v>0.5</v>
      </c>
      <c r="J79" s="8">
        <v>0.5</v>
      </c>
      <c r="K79" s="9">
        <f t="shared" si="1"/>
        <v>0</v>
      </c>
      <c r="L79" s="9">
        <f t="shared" si="1"/>
        <v>0</v>
      </c>
      <c r="M79" s="9">
        <v>0</v>
      </c>
      <c r="N79" s="9">
        <v>0</v>
      </c>
      <c r="O79" s="9">
        <f>+Tabla13[[#This Row],[Avance Dígital]]+Tabla13[[#This Row],[Avance Vinculación]]</f>
        <v>0</v>
      </c>
    </row>
    <row r="80" spans="1:15" x14ac:dyDescent="0.25">
      <c r="A80" t="s">
        <v>56</v>
      </c>
      <c r="B80" t="s">
        <v>27</v>
      </c>
      <c r="C80" t="s">
        <v>15</v>
      </c>
      <c r="D80" t="s">
        <v>16</v>
      </c>
      <c r="E80" t="s">
        <v>68</v>
      </c>
      <c r="F80"/>
      <c r="G80" s="6"/>
      <c r="H80" s="5"/>
      <c r="I80" s="8">
        <v>0.5</v>
      </c>
      <c r="J80" s="8">
        <v>0.5</v>
      </c>
      <c r="K80" s="9">
        <f t="shared" si="1"/>
        <v>0</v>
      </c>
      <c r="L80" s="9">
        <f t="shared" si="1"/>
        <v>0</v>
      </c>
      <c r="M80" s="9">
        <v>0</v>
      </c>
      <c r="N80" s="9">
        <v>0</v>
      </c>
      <c r="O80" s="9">
        <f>+Tabla13[[#This Row],[Avance Dígital]]+Tabla13[[#This Row],[Avance Vinculación]]</f>
        <v>0</v>
      </c>
    </row>
    <row r="81" spans="1:15" x14ac:dyDescent="0.25">
      <c r="A81" t="s">
        <v>56</v>
      </c>
      <c r="B81" t="s">
        <v>14</v>
      </c>
      <c r="C81" t="s">
        <v>31</v>
      </c>
      <c r="D81" t="s">
        <v>18</v>
      </c>
      <c r="E81" t="s">
        <v>69</v>
      </c>
      <c r="F81">
        <v>28</v>
      </c>
      <c r="G81" s="6">
        <f>IF(Tabla13[[#This Row],[Meta 26 antes DPV]]=0,"",(Tabla13[[#This Row],[Meta 26 antes DPV]]-Tabla13[[#This Row],[Meta 26 Piso]])/Tabla13[[#This Row],[Meta 26 antes DPV]])</f>
        <v>0.10714285714285714</v>
      </c>
      <c r="H81" s="5">
        <v>25</v>
      </c>
      <c r="I81" s="8">
        <v>0.1</v>
      </c>
      <c r="J81" s="8">
        <v>0.9</v>
      </c>
      <c r="K81" s="9">
        <f t="shared" si="1"/>
        <v>2.5</v>
      </c>
      <c r="L81" s="9">
        <f t="shared" si="1"/>
        <v>22.5</v>
      </c>
      <c r="M81" s="9"/>
      <c r="N81" s="9">
        <v>1</v>
      </c>
      <c r="O81" s="9">
        <f>+Tabla13[[#This Row],[Avance Dígital]]+Tabla13[[#This Row],[Avance Vinculación]]</f>
        <v>1</v>
      </c>
    </row>
    <row r="82" spans="1:15" x14ac:dyDescent="0.25">
      <c r="A82" t="s">
        <v>56</v>
      </c>
      <c r="B82" t="s">
        <v>14</v>
      </c>
      <c r="C82" t="s">
        <v>31</v>
      </c>
      <c r="D82" t="s">
        <v>18</v>
      </c>
      <c r="E82" t="s">
        <v>70</v>
      </c>
      <c r="F82">
        <v>29</v>
      </c>
      <c r="G82" s="6">
        <f>IF(Tabla13[[#This Row],[Meta 26 antes DPV]]=0,"",(Tabla13[[#This Row],[Meta 26 antes DPV]]-Tabla13[[#This Row],[Meta 26 Piso]])/Tabla13[[#This Row],[Meta 26 antes DPV]])</f>
        <v>0.10344827586206896</v>
      </c>
      <c r="H82" s="5">
        <v>26</v>
      </c>
      <c r="I82" s="8">
        <v>0.1</v>
      </c>
      <c r="J82" s="8">
        <v>0.9</v>
      </c>
      <c r="K82" s="9">
        <f t="shared" si="1"/>
        <v>2.6</v>
      </c>
      <c r="L82" s="9">
        <f t="shared" si="1"/>
        <v>23.400000000000002</v>
      </c>
      <c r="M82" s="9">
        <v>1</v>
      </c>
      <c r="N82" s="9">
        <v>5</v>
      </c>
      <c r="O82" s="9">
        <f>+Tabla13[[#This Row],[Avance Dígital]]+Tabla13[[#This Row],[Avance Vinculación]]</f>
        <v>6</v>
      </c>
    </row>
    <row r="83" spans="1:15" x14ac:dyDescent="0.25">
      <c r="A83" t="s">
        <v>56</v>
      </c>
      <c r="B83" t="s">
        <v>14</v>
      </c>
      <c r="C83" t="s">
        <v>31</v>
      </c>
      <c r="D83" t="s">
        <v>18</v>
      </c>
      <c r="E83" t="s">
        <v>32</v>
      </c>
      <c r="F83">
        <v>88</v>
      </c>
      <c r="G83" s="6">
        <f>IF(Tabla13[[#This Row],[Meta 26 antes DPV]]=0,"",(Tabla13[[#This Row],[Meta 26 antes DPV]]-Tabla13[[#This Row],[Meta 26 Piso]])/Tabla13[[#This Row],[Meta 26 antes DPV]])</f>
        <v>0.125</v>
      </c>
      <c r="H83" s="5">
        <v>77</v>
      </c>
      <c r="I83" s="8">
        <v>0.1</v>
      </c>
      <c r="J83" s="8">
        <v>0.9</v>
      </c>
      <c r="K83" s="9">
        <f t="shared" si="1"/>
        <v>7.7</v>
      </c>
      <c r="L83" s="9">
        <f t="shared" si="1"/>
        <v>69.3</v>
      </c>
      <c r="M83" s="9">
        <v>1</v>
      </c>
      <c r="N83" s="9">
        <v>46</v>
      </c>
      <c r="O83" s="9">
        <f>+Tabla13[[#This Row],[Avance Dígital]]+Tabla13[[#This Row],[Avance Vinculación]]</f>
        <v>47</v>
      </c>
    </row>
    <row r="84" spans="1:15" x14ac:dyDescent="0.25">
      <c r="A84" t="s">
        <v>56</v>
      </c>
      <c r="B84" t="s">
        <v>23</v>
      </c>
      <c r="C84" t="s">
        <v>31</v>
      </c>
      <c r="D84" t="s">
        <v>18</v>
      </c>
      <c r="E84" t="s">
        <v>71</v>
      </c>
      <c r="F84">
        <v>18</v>
      </c>
      <c r="G84" s="6">
        <f>IF(Tabla13[[#This Row],[Meta 26 antes DPV]]=0,"",(Tabla13[[#This Row],[Meta 26 antes DPV]]-Tabla13[[#This Row],[Meta 26 Piso]])/Tabla13[[#This Row],[Meta 26 antes DPV]])</f>
        <v>5.5555555555555552E-2</v>
      </c>
      <c r="H84" s="5">
        <v>17</v>
      </c>
      <c r="I84" s="8">
        <v>0.1</v>
      </c>
      <c r="J84" s="8">
        <v>0.9</v>
      </c>
      <c r="K84" s="9">
        <f t="shared" si="1"/>
        <v>1.7000000000000002</v>
      </c>
      <c r="L84" s="9">
        <f t="shared" si="1"/>
        <v>15.3</v>
      </c>
      <c r="M84" s="9">
        <v>0</v>
      </c>
      <c r="N84" s="9">
        <v>6</v>
      </c>
      <c r="O84" s="9">
        <f>+Tabla13[[#This Row],[Avance Dígital]]+Tabla13[[#This Row],[Avance Vinculación]]</f>
        <v>6</v>
      </c>
    </row>
    <row r="85" spans="1:15" x14ac:dyDescent="0.25">
      <c r="A85" t="s">
        <v>56</v>
      </c>
      <c r="B85" t="s">
        <v>23</v>
      </c>
      <c r="C85" t="s">
        <v>31</v>
      </c>
      <c r="D85" t="s">
        <v>18</v>
      </c>
      <c r="E85" t="s">
        <v>72</v>
      </c>
      <c r="F85"/>
      <c r="G85" s="6"/>
      <c r="H85" s="5"/>
      <c r="I85" s="8">
        <v>0.1</v>
      </c>
      <c r="J85" s="8">
        <v>0.9</v>
      </c>
      <c r="K85" s="9">
        <f t="shared" si="1"/>
        <v>0</v>
      </c>
      <c r="L85" s="9">
        <f t="shared" si="1"/>
        <v>0</v>
      </c>
      <c r="M85" s="9">
        <v>0</v>
      </c>
      <c r="N85" s="9">
        <v>1</v>
      </c>
      <c r="O85" s="9">
        <f>+Tabla13[[#This Row],[Avance Dígital]]+Tabla13[[#This Row],[Avance Vinculación]]</f>
        <v>1</v>
      </c>
    </row>
    <row r="86" spans="1:15" x14ac:dyDescent="0.25">
      <c r="A86" t="s">
        <v>56</v>
      </c>
      <c r="B86" t="s">
        <v>34</v>
      </c>
      <c r="C86" t="s">
        <v>31</v>
      </c>
      <c r="D86" t="s">
        <v>18</v>
      </c>
      <c r="E86" t="s">
        <v>73</v>
      </c>
      <c r="F86">
        <v>30</v>
      </c>
      <c r="G86" s="6">
        <f>IF(Tabla13[[#This Row],[Meta 26 antes DPV]]=0,"",(Tabla13[[#This Row],[Meta 26 antes DPV]]-Tabla13[[#This Row],[Meta 26 Piso]])/Tabla13[[#This Row],[Meta 26 antes DPV]])</f>
        <v>0</v>
      </c>
      <c r="H86" s="5">
        <v>30</v>
      </c>
      <c r="I86" s="8">
        <v>0.1</v>
      </c>
      <c r="J86" s="8">
        <v>0.9</v>
      </c>
      <c r="K86" s="9">
        <f t="shared" si="1"/>
        <v>3</v>
      </c>
      <c r="L86" s="9">
        <f t="shared" si="1"/>
        <v>27</v>
      </c>
      <c r="M86" s="9">
        <v>0</v>
      </c>
      <c r="N86" s="9">
        <v>8</v>
      </c>
      <c r="O86" s="9">
        <f>+Tabla13[[#This Row],[Avance Dígital]]+Tabla13[[#This Row],[Avance Vinculación]]</f>
        <v>8</v>
      </c>
    </row>
    <row r="87" spans="1:15" x14ac:dyDescent="0.25">
      <c r="A87" t="s">
        <v>56</v>
      </c>
      <c r="B87" t="s">
        <v>27</v>
      </c>
      <c r="C87" t="s">
        <v>31</v>
      </c>
      <c r="D87" t="s">
        <v>18</v>
      </c>
      <c r="E87" t="s">
        <v>74</v>
      </c>
      <c r="F87">
        <v>0</v>
      </c>
      <c r="G87" s="6"/>
      <c r="H87" s="5"/>
      <c r="I87" s="8">
        <v>0.1</v>
      </c>
      <c r="J87" s="8">
        <v>0.9</v>
      </c>
      <c r="K87" s="9">
        <f t="shared" si="1"/>
        <v>0</v>
      </c>
      <c r="L87" s="9">
        <f t="shared" si="1"/>
        <v>0</v>
      </c>
      <c r="M87" s="9">
        <v>0</v>
      </c>
      <c r="N87" s="9">
        <v>1</v>
      </c>
      <c r="O87" s="9">
        <f>+Tabla13[[#This Row],[Avance Dígital]]+Tabla13[[#This Row],[Avance Vinculación]]</f>
        <v>1</v>
      </c>
    </row>
    <row r="88" spans="1:15" x14ac:dyDescent="0.25">
      <c r="A88" t="s">
        <v>56</v>
      </c>
      <c r="B88" t="s">
        <v>27</v>
      </c>
      <c r="C88" t="s">
        <v>31</v>
      </c>
      <c r="D88" t="s">
        <v>18</v>
      </c>
      <c r="E88" t="s">
        <v>75</v>
      </c>
      <c r="F88">
        <v>0</v>
      </c>
      <c r="G88" s="6"/>
      <c r="H88" s="5"/>
      <c r="I88" s="8">
        <v>0.1</v>
      </c>
      <c r="J88" s="8">
        <v>0.9</v>
      </c>
      <c r="K88" s="9">
        <f t="shared" si="1"/>
        <v>0</v>
      </c>
      <c r="L88" s="9">
        <f t="shared" si="1"/>
        <v>0</v>
      </c>
      <c r="M88" s="9">
        <v>0</v>
      </c>
      <c r="N88" s="9">
        <v>0</v>
      </c>
      <c r="O88" s="9">
        <f>+Tabla13[[#This Row],[Avance Dígital]]+Tabla13[[#This Row],[Avance Vinculación]]</f>
        <v>0</v>
      </c>
    </row>
    <row r="89" spans="1:15" x14ac:dyDescent="0.25">
      <c r="A89" t="s">
        <v>76</v>
      </c>
      <c r="B89" t="s">
        <v>14</v>
      </c>
      <c r="C89" t="s">
        <v>15</v>
      </c>
      <c r="D89" t="s">
        <v>16</v>
      </c>
      <c r="E89" t="s">
        <v>17</v>
      </c>
      <c r="F89" s="5">
        <v>135</v>
      </c>
      <c r="G89" s="6">
        <f>IF(Tabla13[[#This Row],[Meta 26 antes DPV]]=0,"",(Tabla13[[#This Row],[Meta 26 antes DPV]]-Tabla13[[#This Row],[Meta 26 Piso]])/Tabla13[[#This Row],[Meta 26 antes DPV]])</f>
        <v>0.22222222222222221</v>
      </c>
      <c r="H89" s="5">
        <v>105</v>
      </c>
      <c r="I89" s="8">
        <v>0.5</v>
      </c>
      <c r="J89" s="8">
        <v>0.5</v>
      </c>
      <c r="K89" s="9">
        <f t="shared" si="1"/>
        <v>52.5</v>
      </c>
      <c r="L89" s="9">
        <f t="shared" si="1"/>
        <v>52.5</v>
      </c>
      <c r="M89" s="9">
        <v>19</v>
      </c>
      <c r="N89" s="9">
        <v>15</v>
      </c>
      <c r="O89" s="9">
        <f>+Tabla13[[#This Row],[Avance Dígital]]+Tabla13[[#This Row],[Avance Vinculación]]</f>
        <v>34</v>
      </c>
    </row>
    <row r="90" spans="1:15" x14ac:dyDescent="0.25">
      <c r="A90" t="s">
        <v>76</v>
      </c>
      <c r="B90" t="s">
        <v>14</v>
      </c>
      <c r="C90" t="s">
        <v>15</v>
      </c>
      <c r="D90" t="s">
        <v>18</v>
      </c>
      <c r="E90" t="s">
        <v>17</v>
      </c>
      <c r="F90" s="5">
        <v>50</v>
      </c>
      <c r="G90" s="6">
        <f>IF(Tabla13[[#This Row],[Meta 26 antes DPV]]=0,"",(Tabla13[[#This Row],[Meta 26 antes DPV]]-Tabla13[[#This Row],[Meta 26 Piso]])/Tabla13[[#This Row],[Meta 26 antes DPV]])</f>
        <v>0.4</v>
      </c>
      <c r="H90" s="5">
        <v>30</v>
      </c>
      <c r="I90" s="8">
        <v>0.5</v>
      </c>
      <c r="J90" s="8">
        <v>0.5</v>
      </c>
      <c r="K90" s="9">
        <f t="shared" si="1"/>
        <v>15</v>
      </c>
      <c r="L90" s="9">
        <f t="shared" si="1"/>
        <v>15</v>
      </c>
      <c r="M90" s="9">
        <v>2</v>
      </c>
      <c r="N90" s="9">
        <v>2</v>
      </c>
      <c r="O90" s="9">
        <f>+Tabla13[[#This Row],[Avance Dígital]]+Tabla13[[#This Row],[Avance Vinculación]]</f>
        <v>4</v>
      </c>
    </row>
    <row r="91" spans="1:15" x14ac:dyDescent="0.25">
      <c r="A91" t="s">
        <v>76</v>
      </c>
      <c r="B91" t="s">
        <v>14</v>
      </c>
      <c r="C91" t="s">
        <v>15</v>
      </c>
      <c r="D91" t="s">
        <v>16</v>
      </c>
      <c r="E91" t="s">
        <v>20</v>
      </c>
      <c r="F91" s="5">
        <v>100</v>
      </c>
      <c r="G91" s="6">
        <f>IF(Tabla13[[#This Row],[Meta 26 antes DPV]]=0,"",(Tabla13[[#This Row],[Meta 26 antes DPV]]-Tabla13[[#This Row],[Meta 26 Piso]])/Tabla13[[#This Row],[Meta 26 antes DPV]])</f>
        <v>0.2</v>
      </c>
      <c r="H91" s="5">
        <v>80</v>
      </c>
      <c r="I91" s="8">
        <v>0.5</v>
      </c>
      <c r="J91" s="8">
        <v>0.5</v>
      </c>
      <c r="K91" s="9">
        <f t="shared" si="1"/>
        <v>40</v>
      </c>
      <c r="L91" s="9">
        <f t="shared" si="1"/>
        <v>40</v>
      </c>
      <c r="M91" s="9">
        <v>19</v>
      </c>
      <c r="N91" s="9">
        <v>8</v>
      </c>
      <c r="O91" s="9">
        <f>+Tabla13[[#This Row],[Avance Dígital]]+Tabla13[[#This Row],[Avance Vinculación]]</f>
        <v>27</v>
      </c>
    </row>
    <row r="92" spans="1:15" x14ac:dyDescent="0.25">
      <c r="A92" t="s">
        <v>76</v>
      </c>
      <c r="B92" t="s">
        <v>14</v>
      </c>
      <c r="C92" t="s">
        <v>15</v>
      </c>
      <c r="D92" t="s">
        <v>18</v>
      </c>
      <c r="E92" t="s">
        <v>20</v>
      </c>
      <c r="F92" s="5">
        <v>40</v>
      </c>
      <c r="G92" s="6">
        <f>IF(Tabla13[[#This Row],[Meta 26 antes DPV]]=0,"",(Tabla13[[#This Row],[Meta 26 antes DPV]]-Tabla13[[#This Row],[Meta 26 Piso]])/Tabla13[[#This Row],[Meta 26 antes DPV]])</f>
        <v>0.25</v>
      </c>
      <c r="H92" s="5">
        <v>30</v>
      </c>
      <c r="I92" s="8">
        <v>0.5</v>
      </c>
      <c r="J92" s="8">
        <v>0.5</v>
      </c>
      <c r="K92" s="9">
        <f t="shared" si="1"/>
        <v>15</v>
      </c>
      <c r="L92" s="9">
        <f t="shared" si="1"/>
        <v>15</v>
      </c>
      <c r="M92" s="9">
        <v>7</v>
      </c>
      <c r="N92" s="9">
        <v>5</v>
      </c>
      <c r="O92" s="9">
        <f>+Tabla13[[#This Row],[Avance Dígital]]+Tabla13[[#This Row],[Avance Vinculación]]</f>
        <v>12</v>
      </c>
    </row>
    <row r="93" spans="1:15" x14ac:dyDescent="0.25">
      <c r="A93" t="s">
        <v>76</v>
      </c>
      <c r="B93" t="s">
        <v>14</v>
      </c>
      <c r="C93" t="s">
        <v>15</v>
      </c>
      <c r="D93" t="s">
        <v>16</v>
      </c>
      <c r="E93" t="s">
        <v>22</v>
      </c>
      <c r="F93" s="5">
        <v>40</v>
      </c>
      <c r="G93" s="6">
        <f>IF(Tabla13[[#This Row],[Meta 26 antes DPV]]=0,"",(Tabla13[[#This Row],[Meta 26 antes DPV]]-Tabla13[[#This Row],[Meta 26 Piso]])/Tabla13[[#This Row],[Meta 26 antes DPV]])</f>
        <v>0.25</v>
      </c>
      <c r="H93" s="5">
        <v>30</v>
      </c>
      <c r="I93" s="8">
        <v>0.5</v>
      </c>
      <c r="J93" s="8">
        <v>0.5</v>
      </c>
      <c r="K93" s="9">
        <f t="shared" si="1"/>
        <v>15</v>
      </c>
      <c r="L93" s="9">
        <f t="shared" si="1"/>
        <v>15</v>
      </c>
      <c r="M93" s="9">
        <v>6</v>
      </c>
      <c r="N93" s="9">
        <v>12</v>
      </c>
      <c r="O93" s="9">
        <f>+Tabla13[[#This Row],[Avance Dígital]]+Tabla13[[#This Row],[Avance Vinculación]]</f>
        <v>18</v>
      </c>
    </row>
    <row r="94" spans="1:15" x14ac:dyDescent="0.25">
      <c r="A94" t="s">
        <v>76</v>
      </c>
      <c r="B94" t="s">
        <v>14</v>
      </c>
      <c r="C94" t="s">
        <v>15</v>
      </c>
      <c r="D94" t="s">
        <v>18</v>
      </c>
      <c r="E94" t="s">
        <v>22</v>
      </c>
      <c r="F94" s="5">
        <v>30</v>
      </c>
      <c r="G94" s="6">
        <f>IF(Tabla13[[#This Row],[Meta 26 antes DPV]]=0,"",(Tabla13[[#This Row],[Meta 26 antes DPV]]-Tabla13[[#This Row],[Meta 26 Piso]])/Tabla13[[#This Row],[Meta 26 antes DPV]])</f>
        <v>0.33333333333333331</v>
      </c>
      <c r="H94" s="5">
        <v>20</v>
      </c>
      <c r="I94" s="8">
        <v>0.5</v>
      </c>
      <c r="J94" s="8">
        <v>0.5</v>
      </c>
      <c r="K94" s="9">
        <f t="shared" si="1"/>
        <v>10</v>
      </c>
      <c r="L94" s="9">
        <f t="shared" si="1"/>
        <v>10</v>
      </c>
      <c r="M94" s="9">
        <v>5</v>
      </c>
      <c r="N94" s="9">
        <v>2</v>
      </c>
      <c r="O94" s="9">
        <f>+Tabla13[[#This Row],[Avance Dígital]]+Tabla13[[#This Row],[Avance Vinculación]]</f>
        <v>7</v>
      </c>
    </row>
    <row r="95" spans="1:15" x14ac:dyDescent="0.25">
      <c r="A95" t="s">
        <v>76</v>
      </c>
      <c r="B95" t="s">
        <v>14</v>
      </c>
      <c r="C95" t="s">
        <v>15</v>
      </c>
      <c r="D95" t="s">
        <v>16</v>
      </c>
      <c r="E95" t="s">
        <v>30</v>
      </c>
      <c r="F95" s="5">
        <v>25</v>
      </c>
      <c r="G95" s="6">
        <f>IF(Tabla13[[#This Row],[Meta 26 antes DPV]]=0,"",(Tabla13[[#This Row],[Meta 26 antes DPV]]-Tabla13[[#This Row],[Meta 26 Piso]])/Tabla13[[#This Row],[Meta 26 antes DPV]])</f>
        <v>0.2</v>
      </c>
      <c r="H95" s="5">
        <v>20</v>
      </c>
      <c r="I95" s="8">
        <v>0.5</v>
      </c>
      <c r="J95" s="8">
        <v>0.5</v>
      </c>
      <c r="K95" s="9">
        <f t="shared" si="1"/>
        <v>10</v>
      </c>
      <c r="L95" s="9">
        <f t="shared" si="1"/>
        <v>10</v>
      </c>
      <c r="M95" s="9">
        <v>4</v>
      </c>
      <c r="N95" s="9">
        <v>13</v>
      </c>
      <c r="O95" s="9">
        <f>+Tabla13[[#This Row],[Avance Dígital]]+Tabla13[[#This Row],[Avance Vinculación]]</f>
        <v>17</v>
      </c>
    </row>
    <row r="96" spans="1:15" x14ac:dyDescent="0.25">
      <c r="A96" t="s">
        <v>76</v>
      </c>
      <c r="B96" t="s">
        <v>14</v>
      </c>
      <c r="C96" t="s">
        <v>15</v>
      </c>
      <c r="D96" t="s">
        <v>16</v>
      </c>
      <c r="E96" t="s">
        <v>19</v>
      </c>
      <c r="F96" s="5">
        <v>25</v>
      </c>
      <c r="G96" s="6">
        <f>IF(Tabla13[[#This Row],[Meta 26 antes DPV]]=0,"",(Tabla13[[#This Row],[Meta 26 antes DPV]]-Tabla13[[#This Row],[Meta 26 Piso]])/Tabla13[[#This Row],[Meta 26 antes DPV]])</f>
        <v>0.2</v>
      </c>
      <c r="H96" s="5">
        <v>20</v>
      </c>
      <c r="I96" s="8">
        <v>0.5</v>
      </c>
      <c r="J96" s="8">
        <v>0.5</v>
      </c>
      <c r="K96" s="9">
        <f t="shared" si="1"/>
        <v>10</v>
      </c>
      <c r="L96" s="9">
        <f t="shared" si="1"/>
        <v>10</v>
      </c>
      <c r="M96" s="9">
        <v>3</v>
      </c>
      <c r="N96" s="9">
        <v>11</v>
      </c>
      <c r="O96" s="9">
        <f>+Tabla13[[#This Row],[Avance Dígital]]+Tabla13[[#This Row],[Avance Vinculación]]</f>
        <v>14</v>
      </c>
    </row>
    <row r="97" spans="1:15" x14ac:dyDescent="0.25">
      <c r="A97" t="s">
        <v>76</v>
      </c>
      <c r="B97" t="s">
        <v>23</v>
      </c>
      <c r="C97" t="s">
        <v>15</v>
      </c>
      <c r="D97" t="s">
        <v>16</v>
      </c>
      <c r="E97" t="s">
        <v>24</v>
      </c>
      <c r="F97" s="5">
        <v>30</v>
      </c>
      <c r="G97" s="6">
        <f>IF(Tabla13[[#This Row],[Meta 26 antes DPV]]=0,"",(Tabla13[[#This Row],[Meta 26 antes DPV]]-Tabla13[[#This Row],[Meta 26 Piso]])/Tabla13[[#This Row],[Meta 26 antes DPV]])</f>
        <v>0.33333333333333331</v>
      </c>
      <c r="H97" s="5">
        <v>20</v>
      </c>
      <c r="I97" s="8">
        <v>0.5</v>
      </c>
      <c r="J97" s="8">
        <v>0.5</v>
      </c>
      <c r="K97" s="9">
        <f t="shared" si="1"/>
        <v>10</v>
      </c>
      <c r="L97" s="9">
        <f t="shared" si="1"/>
        <v>10</v>
      </c>
      <c r="M97" s="9">
        <v>3</v>
      </c>
      <c r="N97" s="9">
        <v>3</v>
      </c>
      <c r="O97" s="9">
        <f>+Tabla13[[#This Row],[Avance Dígital]]+Tabla13[[#This Row],[Avance Vinculación]]</f>
        <v>6</v>
      </c>
    </row>
    <row r="98" spans="1:15" x14ac:dyDescent="0.25">
      <c r="A98" t="s">
        <v>76</v>
      </c>
      <c r="B98" t="s">
        <v>23</v>
      </c>
      <c r="C98" t="s">
        <v>15</v>
      </c>
      <c r="D98" t="s">
        <v>16</v>
      </c>
      <c r="E98" t="s">
        <v>46</v>
      </c>
      <c r="F98" s="5">
        <v>25</v>
      </c>
      <c r="G98" s="6">
        <f>IF(Tabla13[[#This Row],[Meta 26 antes DPV]]=0,"",(Tabla13[[#This Row],[Meta 26 antes DPV]]-Tabla13[[#This Row],[Meta 26 Piso]])/Tabla13[[#This Row],[Meta 26 antes DPV]])</f>
        <v>0.2</v>
      </c>
      <c r="H98" s="5">
        <v>20</v>
      </c>
      <c r="I98" s="8">
        <v>0.5</v>
      </c>
      <c r="J98" s="8">
        <v>0.5</v>
      </c>
      <c r="K98" s="9">
        <f t="shared" si="1"/>
        <v>10</v>
      </c>
      <c r="L98" s="9">
        <f t="shared" si="1"/>
        <v>10</v>
      </c>
      <c r="M98" s="9">
        <v>5</v>
      </c>
      <c r="N98" s="9">
        <v>2</v>
      </c>
      <c r="O98" s="9">
        <f>+Tabla13[[#This Row],[Avance Dígital]]+Tabla13[[#This Row],[Avance Vinculación]]</f>
        <v>7</v>
      </c>
    </row>
    <row r="99" spans="1:15" x14ac:dyDescent="0.25">
      <c r="A99" t="s">
        <v>76</v>
      </c>
      <c r="B99" t="s">
        <v>27</v>
      </c>
      <c r="C99" t="s">
        <v>15</v>
      </c>
      <c r="D99" t="s">
        <v>16</v>
      </c>
      <c r="E99" t="s">
        <v>77</v>
      </c>
      <c r="G99" s="6"/>
      <c r="H99" s="5"/>
      <c r="I99" s="8">
        <v>0.5</v>
      </c>
      <c r="J99" s="8">
        <v>0.5</v>
      </c>
      <c r="K99" s="9">
        <f t="shared" si="1"/>
        <v>0</v>
      </c>
      <c r="L99" s="9">
        <f t="shared" si="1"/>
        <v>0</v>
      </c>
      <c r="M99" s="9">
        <v>4</v>
      </c>
      <c r="N99" s="9">
        <v>2</v>
      </c>
      <c r="O99" s="9">
        <f>+Tabla13[[#This Row],[Avance Dígital]]+Tabla13[[#This Row],[Avance Vinculación]]</f>
        <v>6</v>
      </c>
    </row>
    <row r="100" spans="1:15" x14ac:dyDescent="0.25">
      <c r="A100" t="s">
        <v>76</v>
      </c>
      <c r="B100" t="s">
        <v>27</v>
      </c>
      <c r="C100" t="s">
        <v>15</v>
      </c>
      <c r="D100" t="s">
        <v>18</v>
      </c>
      <c r="E100" t="s">
        <v>77</v>
      </c>
      <c r="G100" s="6"/>
      <c r="H100" s="5"/>
      <c r="I100" s="8">
        <v>0.5</v>
      </c>
      <c r="J100" s="8">
        <v>0.5</v>
      </c>
      <c r="K100" s="9">
        <f t="shared" si="1"/>
        <v>0</v>
      </c>
      <c r="L100" s="9">
        <f t="shared" si="1"/>
        <v>0</v>
      </c>
      <c r="M100" s="9"/>
      <c r="N100" s="9"/>
      <c r="O100" s="9">
        <f>+Tabla13[[#This Row],[Avance Dígital]]+Tabla13[[#This Row],[Avance Vinculación]]</f>
        <v>0</v>
      </c>
    </row>
    <row r="101" spans="1:15" x14ac:dyDescent="0.25">
      <c r="A101" t="s">
        <v>76</v>
      </c>
      <c r="B101" t="s">
        <v>27</v>
      </c>
      <c r="C101" t="s">
        <v>15</v>
      </c>
      <c r="D101" t="s">
        <v>16</v>
      </c>
      <c r="E101" t="s">
        <v>29</v>
      </c>
      <c r="G101" s="6"/>
      <c r="H101" s="5"/>
      <c r="I101" s="8">
        <v>0.5</v>
      </c>
      <c r="J101" s="8">
        <v>0.5</v>
      </c>
      <c r="K101" s="9">
        <f t="shared" si="1"/>
        <v>0</v>
      </c>
      <c r="L101" s="9">
        <f t="shared" si="1"/>
        <v>0</v>
      </c>
      <c r="M101" s="9">
        <v>1</v>
      </c>
      <c r="N101" s="9">
        <v>4</v>
      </c>
      <c r="O101" s="9">
        <f>+Tabla13[[#This Row],[Avance Dígital]]+Tabla13[[#This Row],[Avance Vinculación]]</f>
        <v>5</v>
      </c>
    </row>
    <row r="102" spans="1:15" x14ac:dyDescent="0.25">
      <c r="A102" t="s">
        <v>76</v>
      </c>
      <c r="B102" t="s">
        <v>27</v>
      </c>
      <c r="C102" t="s">
        <v>15</v>
      </c>
      <c r="D102" t="s">
        <v>18</v>
      </c>
      <c r="E102" t="s">
        <v>29</v>
      </c>
      <c r="G102" s="6"/>
      <c r="H102" s="5"/>
      <c r="I102" s="8">
        <v>0.5</v>
      </c>
      <c r="J102" s="8">
        <v>0.5</v>
      </c>
      <c r="K102" s="9">
        <f t="shared" si="1"/>
        <v>0</v>
      </c>
      <c r="L102" s="9">
        <f t="shared" si="1"/>
        <v>0</v>
      </c>
      <c r="M102" s="9"/>
      <c r="N102" s="9"/>
      <c r="O102" s="9">
        <f>+Tabla13[[#This Row],[Avance Dígital]]+Tabla13[[#This Row],[Avance Vinculación]]</f>
        <v>0</v>
      </c>
    </row>
    <row r="103" spans="1:15" x14ac:dyDescent="0.25">
      <c r="A103" t="s">
        <v>76</v>
      </c>
      <c r="B103" t="s">
        <v>27</v>
      </c>
      <c r="C103" t="s">
        <v>15</v>
      </c>
      <c r="D103" t="s">
        <v>18</v>
      </c>
      <c r="E103" t="s">
        <v>78</v>
      </c>
      <c r="G103" s="6"/>
      <c r="H103" s="5"/>
      <c r="I103" s="8">
        <v>0.5</v>
      </c>
      <c r="J103" s="8">
        <v>0.5</v>
      </c>
      <c r="K103" s="9">
        <f t="shared" si="1"/>
        <v>0</v>
      </c>
      <c r="L103" s="9">
        <f t="shared" si="1"/>
        <v>0</v>
      </c>
      <c r="M103" s="9">
        <v>2</v>
      </c>
      <c r="N103" s="9">
        <v>4</v>
      </c>
      <c r="O103" s="9">
        <f>+Tabla13[[#This Row],[Avance Dígital]]+Tabla13[[#This Row],[Avance Vinculación]]</f>
        <v>6</v>
      </c>
    </row>
    <row r="104" spans="1:15" x14ac:dyDescent="0.25">
      <c r="A104" t="s">
        <v>76</v>
      </c>
      <c r="B104" t="s">
        <v>27</v>
      </c>
      <c r="C104" t="s">
        <v>15</v>
      </c>
      <c r="D104" t="s">
        <v>16</v>
      </c>
      <c r="E104" t="s">
        <v>79</v>
      </c>
      <c r="G104" s="6"/>
      <c r="H104" s="5"/>
      <c r="I104" s="8">
        <v>0.5</v>
      </c>
      <c r="J104" s="8">
        <v>0.5</v>
      </c>
      <c r="K104" s="9">
        <f t="shared" si="1"/>
        <v>0</v>
      </c>
      <c r="L104" s="9">
        <f t="shared" si="1"/>
        <v>0</v>
      </c>
      <c r="M104" s="9">
        <v>1</v>
      </c>
      <c r="N104" s="9"/>
      <c r="O104" s="9">
        <f>+Tabla13[[#This Row],[Avance Dígital]]+Tabla13[[#This Row],[Avance Vinculación]]</f>
        <v>1</v>
      </c>
    </row>
    <row r="105" spans="1:15" x14ac:dyDescent="0.25">
      <c r="A105" t="s">
        <v>76</v>
      </c>
      <c r="B105" t="s">
        <v>27</v>
      </c>
      <c r="C105" t="s">
        <v>15</v>
      </c>
      <c r="D105" t="s">
        <v>16</v>
      </c>
      <c r="E105" t="s">
        <v>80</v>
      </c>
      <c r="G105" s="6"/>
      <c r="H105" s="5"/>
      <c r="I105" s="8">
        <v>0.5</v>
      </c>
      <c r="J105" s="8">
        <v>0.5</v>
      </c>
      <c r="K105" s="9">
        <f t="shared" si="1"/>
        <v>0</v>
      </c>
      <c r="L105" s="9">
        <f t="shared" si="1"/>
        <v>0</v>
      </c>
      <c r="M105" s="9">
        <v>1</v>
      </c>
      <c r="N105" s="9">
        <v>3</v>
      </c>
      <c r="O105" s="9">
        <f>+Tabla13[[#This Row],[Avance Dígital]]+Tabla13[[#This Row],[Avance Vinculación]]</f>
        <v>4</v>
      </c>
    </row>
    <row r="106" spans="1:15" x14ac:dyDescent="0.25">
      <c r="A106" t="s">
        <v>76</v>
      </c>
      <c r="B106" t="s">
        <v>14</v>
      </c>
      <c r="C106" t="s">
        <v>31</v>
      </c>
      <c r="D106" t="s">
        <v>16</v>
      </c>
      <c r="E106" t="s">
        <v>32</v>
      </c>
      <c r="F106" s="5">
        <v>63</v>
      </c>
      <c r="G106" s="6">
        <f>IF(Tabla13[[#This Row],[Meta 26 antes DPV]]=0,"",(Tabla13[[#This Row],[Meta 26 antes DPV]]-Tabla13[[#This Row],[Meta 26 Piso]])/Tabla13[[#This Row],[Meta 26 antes DPV]])</f>
        <v>4.7619047619047616E-2</v>
      </c>
      <c r="H106" s="5">
        <v>60</v>
      </c>
      <c r="I106" s="8">
        <v>0.2</v>
      </c>
      <c r="J106" s="8">
        <v>0.8</v>
      </c>
      <c r="K106" s="9">
        <f t="shared" si="1"/>
        <v>12</v>
      </c>
      <c r="L106" s="9">
        <f t="shared" si="1"/>
        <v>48</v>
      </c>
      <c r="M106" s="9">
        <v>7</v>
      </c>
      <c r="N106" s="9">
        <v>31</v>
      </c>
      <c r="O106" s="9">
        <f>+Tabla13[[#This Row],[Avance Dígital]]+Tabla13[[#This Row],[Avance Vinculación]]</f>
        <v>38</v>
      </c>
    </row>
    <row r="107" spans="1:15" x14ac:dyDescent="0.25">
      <c r="A107" t="s">
        <v>76</v>
      </c>
      <c r="B107" t="s">
        <v>14</v>
      </c>
      <c r="C107" t="s">
        <v>31</v>
      </c>
      <c r="D107" t="s">
        <v>16</v>
      </c>
      <c r="E107" t="s">
        <v>72</v>
      </c>
      <c r="F107" s="5">
        <v>33</v>
      </c>
      <c r="G107" s="6">
        <f>IF(Tabla13[[#This Row],[Meta 26 antes DPV]]=0,"",(Tabla13[[#This Row],[Meta 26 antes DPV]]-Tabla13[[#This Row],[Meta 26 Piso]])/Tabla13[[#This Row],[Meta 26 antes DPV]])</f>
        <v>9.0909090909090912E-2</v>
      </c>
      <c r="H107" s="5">
        <v>30</v>
      </c>
      <c r="I107" s="8">
        <v>0.2</v>
      </c>
      <c r="J107" s="8">
        <v>0.8</v>
      </c>
      <c r="K107" s="9">
        <f t="shared" si="1"/>
        <v>6</v>
      </c>
      <c r="L107" s="9">
        <f t="shared" si="1"/>
        <v>24</v>
      </c>
      <c r="M107" s="9">
        <v>0</v>
      </c>
      <c r="N107" s="9">
        <v>5</v>
      </c>
      <c r="O107" s="9">
        <f>+Tabla13[[#This Row],[Avance Dígital]]+Tabla13[[#This Row],[Avance Vinculación]]</f>
        <v>5</v>
      </c>
    </row>
    <row r="108" spans="1:15" x14ac:dyDescent="0.25">
      <c r="A108" t="s">
        <v>76</v>
      </c>
      <c r="B108" t="s">
        <v>14</v>
      </c>
      <c r="C108" t="s">
        <v>31</v>
      </c>
      <c r="D108" t="s">
        <v>16</v>
      </c>
      <c r="E108" t="s">
        <v>81</v>
      </c>
      <c r="F108" s="5">
        <v>32</v>
      </c>
      <c r="G108" s="6">
        <f>IF(Tabla13[[#This Row],[Meta 26 antes DPV]]=0,"",(Tabla13[[#This Row],[Meta 26 antes DPV]]-Tabla13[[#This Row],[Meta 26 Piso]])/Tabla13[[#This Row],[Meta 26 antes DPV]])</f>
        <v>6.25E-2</v>
      </c>
      <c r="H108" s="5">
        <v>30</v>
      </c>
      <c r="I108" s="8">
        <v>0.2</v>
      </c>
      <c r="J108" s="8">
        <v>0.8</v>
      </c>
      <c r="K108" s="9">
        <f t="shared" si="1"/>
        <v>6</v>
      </c>
      <c r="L108" s="9">
        <f t="shared" si="1"/>
        <v>24</v>
      </c>
      <c r="M108" s="9">
        <v>0</v>
      </c>
      <c r="N108" s="9">
        <v>15</v>
      </c>
      <c r="O108" s="9">
        <f>+Tabla13[[#This Row],[Avance Dígital]]+Tabla13[[#This Row],[Avance Vinculación]]</f>
        <v>15</v>
      </c>
    </row>
    <row r="109" spans="1:15" x14ac:dyDescent="0.25">
      <c r="A109" t="s">
        <v>76</v>
      </c>
      <c r="B109" t="s">
        <v>23</v>
      </c>
      <c r="C109" t="s">
        <v>31</v>
      </c>
      <c r="D109" t="s">
        <v>16</v>
      </c>
      <c r="E109" t="s">
        <v>82</v>
      </c>
      <c r="F109" s="5">
        <v>22</v>
      </c>
      <c r="G109" s="6">
        <f>IF(Tabla13[[#This Row],[Meta 26 antes DPV]]=0,"",(Tabla13[[#This Row],[Meta 26 antes DPV]]-Tabla13[[#This Row],[Meta 26 Piso]])/Tabla13[[#This Row],[Meta 26 antes DPV]])</f>
        <v>9.0909090909090912E-2</v>
      </c>
      <c r="H109" s="5">
        <v>20</v>
      </c>
      <c r="I109" s="8">
        <v>0.2</v>
      </c>
      <c r="J109" s="8">
        <v>0.8</v>
      </c>
      <c r="K109" s="9">
        <f t="shared" si="1"/>
        <v>4</v>
      </c>
      <c r="L109" s="9">
        <f t="shared" si="1"/>
        <v>16</v>
      </c>
      <c r="M109" s="9">
        <v>0</v>
      </c>
      <c r="N109" s="9">
        <v>4</v>
      </c>
      <c r="O109" s="9">
        <f>+Tabla13[[#This Row],[Avance Dígital]]+Tabla13[[#This Row],[Avance Vinculación]]</f>
        <v>4</v>
      </c>
    </row>
    <row r="110" spans="1:15" x14ac:dyDescent="0.25">
      <c r="A110" t="s">
        <v>83</v>
      </c>
      <c r="B110" t="s">
        <v>14</v>
      </c>
      <c r="C110" t="s">
        <v>15</v>
      </c>
      <c r="D110" t="s">
        <v>16</v>
      </c>
      <c r="E110" t="s">
        <v>84</v>
      </c>
      <c r="F110">
        <v>225</v>
      </c>
      <c r="G110" s="6">
        <f>IF(Tabla13[[#This Row],[Meta 26 antes DPV]]=0,"",(Tabla13[[#This Row],[Meta 26 antes DPV]]-Tabla13[[#This Row],[Meta 26 Piso]])/Tabla13[[#This Row],[Meta 26 antes DPV]])</f>
        <v>0.17777777777777778</v>
      </c>
      <c r="H110" s="5">
        <v>185</v>
      </c>
      <c r="I110" s="8">
        <v>0.5</v>
      </c>
      <c r="J110" s="8">
        <v>0.5</v>
      </c>
      <c r="K110" s="9">
        <f t="shared" si="1"/>
        <v>92.5</v>
      </c>
      <c r="L110" s="9">
        <f t="shared" si="1"/>
        <v>92.5</v>
      </c>
      <c r="M110" s="9">
        <f>+Tabla13[[#This Row],[Avance meta general]]*$Q$2</f>
        <v>22.2</v>
      </c>
      <c r="N110" s="9">
        <f>+Tabla13[[#This Row],[Avance meta general]]*$R$2</f>
        <v>14.8</v>
      </c>
      <c r="O110" s="9">
        <v>37</v>
      </c>
    </row>
    <row r="111" spans="1:15" x14ac:dyDescent="0.25">
      <c r="A111" t="s">
        <v>83</v>
      </c>
      <c r="B111" t="s">
        <v>14</v>
      </c>
      <c r="C111" t="s">
        <v>15</v>
      </c>
      <c r="D111" t="s">
        <v>16</v>
      </c>
      <c r="E111" t="s">
        <v>25</v>
      </c>
      <c r="F111">
        <v>61</v>
      </c>
      <c r="G111" s="6">
        <f>IF(Tabla13[[#This Row],[Meta 26 antes DPV]]=0,"",(Tabla13[[#This Row],[Meta 26 antes DPV]]-Tabla13[[#This Row],[Meta 26 Piso]])/Tabla13[[#This Row],[Meta 26 antes DPV]])</f>
        <v>0.18032786885245902</v>
      </c>
      <c r="H111" s="5">
        <v>50</v>
      </c>
      <c r="I111" s="8">
        <v>0.5</v>
      </c>
      <c r="J111" s="8">
        <v>0.5</v>
      </c>
      <c r="K111" s="9">
        <f t="shared" si="1"/>
        <v>25</v>
      </c>
      <c r="L111" s="9">
        <f t="shared" si="1"/>
        <v>25</v>
      </c>
      <c r="M111" s="9">
        <f>+Tabla13[[#This Row],[Avance meta general]]*$Q$2</f>
        <v>3.5999999999999996</v>
      </c>
      <c r="N111" s="9">
        <f>+Tabla13[[#This Row],[Avance meta general]]*$R$2</f>
        <v>2.4000000000000004</v>
      </c>
      <c r="O111" s="9">
        <v>6</v>
      </c>
    </row>
    <row r="112" spans="1:15" x14ac:dyDescent="0.25">
      <c r="A112" t="s">
        <v>83</v>
      </c>
      <c r="B112" t="s">
        <v>14</v>
      </c>
      <c r="C112" t="s">
        <v>15</v>
      </c>
      <c r="D112" t="s">
        <v>16</v>
      </c>
      <c r="E112" t="s">
        <v>85</v>
      </c>
      <c r="F112">
        <v>45</v>
      </c>
      <c r="G112" s="6">
        <f>IF(Tabla13[[#This Row],[Meta 26 antes DPV]]=0,"",(Tabla13[[#This Row],[Meta 26 antes DPV]]-Tabla13[[#This Row],[Meta 26 Piso]])/Tabla13[[#This Row],[Meta 26 antes DPV]])</f>
        <v>0.1111111111111111</v>
      </c>
      <c r="H112" s="5">
        <v>40</v>
      </c>
      <c r="I112" s="8">
        <v>0.5</v>
      </c>
      <c r="J112" s="8">
        <v>0.5</v>
      </c>
      <c r="K112" s="9">
        <f t="shared" si="1"/>
        <v>20</v>
      </c>
      <c r="L112" s="9">
        <f t="shared" si="1"/>
        <v>20</v>
      </c>
      <c r="M112" s="9">
        <f>+Tabla13[[#This Row],[Avance meta general]]*$Q$2</f>
        <v>4.2</v>
      </c>
      <c r="N112" s="9">
        <f>+Tabla13[[#This Row],[Avance meta general]]*$R$2</f>
        <v>2.8000000000000003</v>
      </c>
      <c r="O112" s="9">
        <v>7</v>
      </c>
    </row>
    <row r="113" spans="1:15" x14ac:dyDescent="0.25">
      <c r="A113" t="s">
        <v>83</v>
      </c>
      <c r="B113" t="s">
        <v>14</v>
      </c>
      <c r="C113" t="s">
        <v>15</v>
      </c>
      <c r="D113" t="s">
        <v>16</v>
      </c>
      <c r="E113" t="s">
        <v>17</v>
      </c>
      <c r="F113">
        <v>47</v>
      </c>
      <c r="G113" s="6">
        <f>IF(Tabla13[[#This Row],[Meta 26 antes DPV]]=0,"",(Tabla13[[#This Row],[Meta 26 antes DPV]]-Tabla13[[#This Row],[Meta 26 Piso]])/Tabla13[[#This Row],[Meta 26 antes DPV]])</f>
        <v>0.14893617021276595</v>
      </c>
      <c r="H113" s="5">
        <v>40</v>
      </c>
      <c r="I113" s="8">
        <v>0.5</v>
      </c>
      <c r="J113" s="8">
        <v>0.5</v>
      </c>
      <c r="K113" s="9">
        <f t="shared" si="1"/>
        <v>20</v>
      </c>
      <c r="L113" s="9">
        <f t="shared" si="1"/>
        <v>20</v>
      </c>
      <c r="M113" s="9">
        <f>+Tabla13[[#This Row],[Avance meta general]]*$Q$2</f>
        <v>4.2</v>
      </c>
      <c r="N113" s="9">
        <f>+Tabla13[[#This Row],[Avance meta general]]*$R$2</f>
        <v>2.8000000000000003</v>
      </c>
      <c r="O113" s="9">
        <v>7</v>
      </c>
    </row>
    <row r="114" spans="1:15" x14ac:dyDescent="0.25">
      <c r="A114" t="s">
        <v>83</v>
      </c>
      <c r="B114" t="s">
        <v>23</v>
      </c>
      <c r="C114" t="s">
        <v>15</v>
      </c>
      <c r="D114" t="s">
        <v>16</v>
      </c>
      <c r="E114" t="s">
        <v>40</v>
      </c>
      <c r="F114">
        <v>51</v>
      </c>
      <c r="G114" s="6">
        <f>IF(Tabla13[[#This Row],[Meta 26 antes DPV]]=0,"",(Tabla13[[#This Row],[Meta 26 antes DPV]]-Tabla13[[#This Row],[Meta 26 Piso]])/Tabla13[[#This Row],[Meta 26 antes DPV]])</f>
        <v>0.21568627450980393</v>
      </c>
      <c r="H114" s="5">
        <v>40</v>
      </c>
      <c r="I114" s="8">
        <v>0.5</v>
      </c>
      <c r="J114" s="8">
        <v>0.5</v>
      </c>
      <c r="K114" s="9">
        <f t="shared" si="1"/>
        <v>20</v>
      </c>
      <c r="L114" s="9">
        <f t="shared" si="1"/>
        <v>20</v>
      </c>
      <c r="M114" s="9">
        <f>+Tabla13[[#This Row],[Avance meta general]]*$Q$2</f>
        <v>0.6</v>
      </c>
      <c r="N114" s="9">
        <f>+Tabla13[[#This Row],[Avance meta general]]*$R$2</f>
        <v>0.4</v>
      </c>
      <c r="O114" s="9">
        <v>1</v>
      </c>
    </row>
    <row r="115" spans="1:15" x14ac:dyDescent="0.25">
      <c r="A115" t="s">
        <v>83</v>
      </c>
      <c r="B115" t="s">
        <v>14</v>
      </c>
      <c r="C115" t="s">
        <v>15</v>
      </c>
      <c r="D115" t="s">
        <v>16</v>
      </c>
      <c r="E115" t="s">
        <v>21</v>
      </c>
      <c r="F115">
        <v>48</v>
      </c>
      <c r="G115" s="6">
        <f>IF(Tabla13[[#This Row],[Meta 26 antes DPV]]=0,"",(Tabla13[[#This Row],[Meta 26 antes DPV]]-Tabla13[[#This Row],[Meta 26 Piso]])/Tabla13[[#This Row],[Meta 26 antes DPV]])</f>
        <v>0.16666666666666666</v>
      </c>
      <c r="H115" s="5">
        <v>40</v>
      </c>
      <c r="I115" s="8">
        <v>0.5</v>
      </c>
      <c r="J115" s="8">
        <v>0.5</v>
      </c>
      <c r="K115" s="9">
        <f t="shared" si="1"/>
        <v>20</v>
      </c>
      <c r="L115" s="9">
        <f t="shared" si="1"/>
        <v>20</v>
      </c>
      <c r="M115" s="9">
        <f>+Tabla13[[#This Row],[Avance meta general]]*$Q$2</f>
        <v>1.7999999999999998</v>
      </c>
      <c r="N115" s="9">
        <f>+Tabla13[[#This Row],[Avance meta general]]*$R$2</f>
        <v>1.2000000000000002</v>
      </c>
      <c r="O115" s="9">
        <v>3</v>
      </c>
    </row>
    <row r="116" spans="1:15" x14ac:dyDescent="0.25">
      <c r="A116" t="s">
        <v>83</v>
      </c>
      <c r="B116" t="s">
        <v>14</v>
      </c>
      <c r="C116" t="s">
        <v>15</v>
      </c>
      <c r="D116" t="s">
        <v>16</v>
      </c>
      <c r="E116" t="s">
        <v>22</v>
      </c>
      <c r="F116">
        <v>83</v>
      </c>
      <c r="G116" s="6">
        <f>IF(Tabla13[[#This Row],[Meta 26 antes DPV]]=0,"",(Tabla13[[#This Row],[Meta 26 antes DPV]]-Tabla13[[#This Row],[Meta 26 Piso]])/Tabla13[[#This Row],[Meta 26 antes DPV]])</f>
        <v>9.6385542168674704E-2</v>
      </c>
      <c r="H116" s="5">
        <v>75</v>
      </c>
      <c r="I116" s="8">
        <v>0.5</v>
      </c>
      <c r="J116" s="8">
        <v>0.5</v>
      </c>
      <c r="K116" s="9">
        <f t="shared" si="1"/>
        <v>37.5</v>
      </c>
      <c r="L116" s="9">
        <f t="shared" si="1"/>
        <v>37.5</v>
      </c>
      <c r="M116" s="9">
        <f>+Tabla13[[#This Row],[Avance meta general]]*$Q$2</f>
        <v>7.1999999999999993</v>
      </c>
      <c r="N116" s="9">
        <f>+Tabla13[[#This Row],[Avance meta general]]*$R$2</f>
        <v>4.8000000000000007</v>
      </c>
      <c r="O116" s="9">
        <v>12</v>
      </c>
    </row>
    <row r="117" spans="1:15" x14ac:dyDescent="0.25">
      <c r="A117" t="s">
        <v>83</v>
      </c>
      <c r="B117" t="s">
        <v>23</v>
      </c>
      <c r="C117" t="s">
        <v>15</v>
      </c>
      <c r="D117" t="s">
        <v>16</v>
      </c>
      <c r="E117" t="s">
        <v>29</v>
      </c>
      <c r="F117">
        <v>29</v>
      </c>
      <c r="G117" s="6">
        <f>IF(Tabla13[[#This Row],[Meta 26 antes DPV]]=0,"",(Tabla13[[#This Row],[Meta 26 antes DPV]]-Tabla13[[#This Row],[Meta 26 Piso]])/Tabla13[[#This Row],[Meta 26 antes DPV]])</f>
        <v>0.13793103448275862</v>
      </c>
      <c r="H117" s="5">
        <v>25</v>
      </c>
      <c r="I117" s="8">
        <v>0.5</v>
      </c>
      <c r="J117" s="8">
        <v>0.5</v>
      </c>
      <c r="K117" s="9">
        <f t="shared" si="1"/>
        <v>12.5</v>
      </c>
      <c r="L117" s="9">
        <f t="shared" si="1"/>
        <v>12.5</v>
      </c>
      <c r="M117" s="9">
        <f>+Tabla13[[#This Row],[Avance meta general]]*$Q$2</f>
        <v>0</v>
      </c>
      <c r="N117" s="9">
        <f>+Tabla13[[#This Row],[Avance meta general]]*$R$2</f>
        <v>0</v>
      </c>
      <c r="O117" s="9">
        <v>0</v>
      </c>
    </row>
    <row r="118" spans="1:15" x14ac:dyDescent="0.25">
      <c r="A118" t="s">
        <v>83</v>
      </c>
      <c r="B118" t="s">
        <v>23</v>
      </c>
      <c r="C118" t="s">
        <v>15</v>
      </c>
      <c r="D118" t="s">
        <v>16</v>
      </c>
      <c r="E118" t="s">
        <v>24</v>
      </c>
      <c r="F118">
        <v>37</v>
      </c>
      <c r="G118" s="6">
        <f>IF(Tabla13[[#This Row],[Meta 26 antes DPV]]=0,"",(Tabla13[[#This Row],[Meta 26 antes DPV]]-Tabla13[[#This Row],[Meta 26 Piso]])/Tabla13[[#This Row],[Meta 26 antes DPV]])</f>
        <v>0.1891891891891892</v>
      </c>
      <c r="H118" s="5">
        <v>30</v>
      </c>
      <c r="I118" s="8">
        <v>0.5</v>
      </c>
      <c r="J118" s="8">
        <v>0.5</v>
      </c>
      <c r="K118" s="9">
        <f t="shared" si="1"/>
        <v>15</v>
      </c>
      <c r="L118" s="9">
        <f t="shared" si="1"/>
        <v>15</v>
      </c>
      <c r="M118" s="9">
        <f>+Tabla13[[#This Row],[Avance meta general]]*$Q$2</f>
        <v>3</v>
      </c>
      <c r="N118" s="9">
        <f>+Tabla13[[#This Row],[Avance meta general]]*$R$2</f>
        <v>2</v>
      </c>
      <c r="O118" s="9">
        <v>5</v>
      </c>
    </row>
    <row r="119" spans="1:15" x14ac:dyDescent="0.25">
      <c r="A119" t="s">
        <v>83</v>
      </c>
      <c r="B119" t="s">
        <v>23</v>
      </c>
      <c r="C119" t="s">
        <v>15</v>
      </c>
      <c r="D119" t="s">
        <v>16</v>
      </c>
      <c r="E119" t="s">
        <v>19</v>
      </c>
      <c r="F119">
        <v>31</v>
      </c>
      <c r="G119" s="6">
        <f>IF(Tabla13[[#This Row],[Meta 26 antes DPV]]=0,"",(Tabla13[[#This Row],[Meta 26 antes DPV]]-Tabla13[[#This Row],[Meta 26 Piso]])/Tabla13[[#This Row],[Meta 26 antes DPV]])</f>
        <v>0.19354838709677419</v>
      </c>
      <c r="H119" s="5">
        <v>25</v>
      </c>
      <c r="I119" s="8">
        <v>0.5</v>
      </c>
      <c r="J119" s="8">
        <v>0.5</v>
      </c>
      <c r="K119" s="9">
        <f t="shared" si="1"/>
        <v>12.5</v>
      </c>
      <c r="L119" s="9">
        <f t="shared" si="1"/>
        <v>12.5</v>
      </c>
      <c r="M119" s="9">
        <f>+Tabla13[[#This Row],[Avance meta general]]*$Q$2</f>
        <v>0.6</v>
      </c>
      <c r="N119" s="9">
        <f>+Tabla13[[#This Row],[Avance meta general]]*$R$2</f>
        <v>0.4</v>
      </c>
      <c r="O119" s="9">
        <v>1</v>
      </c>
    </row>
    <row r="120" spans="1:15" x14ac:dyDescent="0.25">
      <c r="A120" t="s">
        <v>83</v>
      </c>
      <c r="B120" t="s">
        <v>23</v>
      </c>
      <c r="C120" t="s">
        <v>15</v>
      </c>
      <c r="D120" t="s">
        <v>16</v>
      </c>
      <c r="E120" t="s">
        <v>44</v>
      </c>
      <c r="F120">
        <v>30</v>
      </c>
      <c r="G120" s="6">
        <f>IF(Tabla13[[#This Row],[Meta 26 antes DPV]]=0,"",(Tabla13[[#This Row],[Meta 26 antes DPV]]-Tabla13[[#This Row],[Meta 26 Piso]])/Tabla13[[#This Row],[Meta 26 antes DPV]])</f>
        <v>0.16666666666666666</v>
      </c>
      <c r="H120" s="5">
        <v>25</v>
      </c>
      <c r="I120" s="8">
        <v>0.5</v>
      </c>
      <c r="J120" s="8">
        <v>0.5</v>
      </c>
      <c r="K120" s="9">
        <f t="shared" si="1"/>
        <v>12.5</v>
      </c>
      <c r="L120" s="9">
        <f t="shared" si="1"/>
        <v>12.5</v>
      </c>
      <c r="M120" s="9">
        <f>+Tabla13[[#This Row],[Avance meta general]]*$Q$2</f>
        <v>0</v>
      </c>
      <c r="N120" s="9">
        <f>+Tabla13[[#This Row],[Avance meta general]]*$R$2</f>
        <v>0</v>
      </c>
      <c r="O120" s="9">
        <v>0</v>
      </c>
    </row>
    <row r="121" spans="1:15" x14ac:dyDescent="0.25">
      <c r="A121" t="s">
        <v>83</v>
      </c>
      <c r="B121" t="s">
        <v>23</v>
      </c>
      <c r="C121" t="s">
        <v>15</v>
      </c>
      <c r="D121" t="s">
        <v>16</v>
      </c>
      <c r="E121" t="s">
        <v>46</v>
      </c>
      <c r="F121"/>
      <c r="G121" s="6"/>
      <c r="H121" s="5"/>
      <c r="I121" s="8">
        <v>0.5</v>
      </c>
      <c r="J121" s="8">
        <v>0.5</v>
      </c>
      <c r="K121" s="9">
        <f t="shared" si="1"/>
        <v>0</v>
      </c>
      <c r="L121" s="9">
        <f t="shared" si="1"/>
        <v>0</v>
      </c>
      <c r="M121" s="9">
        <f>+Tabla13[[#This Row],[Avance meta general]]*$Q$2</f>
        <v>0</v>
      </c>
      <c r="N121" s="9">
        <f>+Tabla13[[#This Row],[Avance meta general]]*$R$2</f>
        <v>0</v>
      </c>
      <c r="O121" s="9">
        <v>0</v>
      </c>
    </row>
    <row r="122" spans="1:15" x14ac:dyDescent="0.25">
      <c r="A122" t="s">
        <v>83</v>
      </c>
      <c r="B122" t="s">
        <v>23</v>
      </c>
      <c r="C122" t="s">
        <v>15</v>
      </c>
      <c r="D122" t="s">
        <v>16</v>
      </c>
      <c r="F122"/>
      <c r="G122" s="6"/>
      <c r="H122" s="5"/>
      <c r="I122" s="8">
        <v>0.5</v>
      </c>
      <c r="J122" s="8">
        <v>0.5</v>
      </c>
      <c r="K122" s="9">
        <f t="shared" si="1"/>
        <v>0</v>
      </c>
      <c r="L122" s="9">
        <f t="shared" si="1"/>
        <v>0</v>
      </c>
      <c r="M122" s="9">
        <f>+Tabla13[[#This Row],[Avance meta general]]*$Q$2</f>
        <v>0</v>
      </c>
      <c r="N122" s="9">
        <f>+Tabla13[[#This Row],[Avance meta general]]*$R$2</f>
        <v>0</v>
      </c>
      <c r="O122" s="9">
        <v>0</v>
      </c>
    </row>
    <row r="123" spans="1:15" x14ac:dyDescent="0.25">
      <c r="A123" t="s">
        <v>83</v>
      </c>
      <c r="B123" t="s">
        <v>27</v>
      </c>
      <c r="C123" t="s">
        <v>15</v>
      </c>
      <c r="D123" t="s">
        <v>18</v>
      </c>
      <c r="E123" t="s">
        <v>86</v>
      </c>
      <c r="F123"/>
      <c r="G123" s="6"/>
      <c r="H123" s="5"/>
      <c r="I123" s="8">
        <v>0.5</v>
      </c>
      <c r="J123" s="8">
        <v>0.5</v>
      </c>
      <c r="K123" s="9">
        <f t="shared" si="1"/>
        <v>0</v>
      </c>
      <c r="L123" s="9">
        <f t="shared" si="1"/>
        <v>0</v>
      </c>
      <c r="M123" s="9">
        <f>+Tabla13[[#This Row],[Avance meta general]]*$Q$2</f>
        <v>0</v>
      </c>
      <c r="N123" s="9">
        <f>+Tabla13[[#This Row],[Avance meta general]]*$R$2</f>
        <v>0</v>
      </c>
      <c r="O123" s="9">
        <v>0</v>
      </c>
    </row>
    <row r="124" spans="1:15" x14ac:dyDescent="0.25">
      <c r="A124" t="s">
        <v>83</v>
      </c>
      <c r="B124" t="s">
        <v>27</v>
      </c>
      <c r="C124" t="s">
        <v>15</v>
      </c>
      <c r="D124" t="s">
        <v>18</v>
      </c>
      <c r="E124" t="s">
        <v>87</v>
      </c>
      <c r="F124"/>
      <c r="G124" s="6"/>
      <c r="H124" s="5"/>
      <c r="I124" s="8">
        <v>0.5</v>
      </c>
      <c r="J124" s="8">
        <v>0.5</v>
      </c>
      <c r="K124" s="9">
        <f t="shared" si="1"/>
        <v>0</v>
      </c>
      <c r="L124" s="9">
        <f t="shared" si="1"/>
        <v>0</v>
      </c>
      <c r="M124" s="9">
        <f>+Tabla13[[#This Row],[Avance meta general]]*$Q$2</f>
        <v>0</v>
      </c>
      <c r="N124" s="9">
        <f>+Tabla13[[#This Row],[Avance meta general]]*$R$2</f>
        <v>0</v>
      </c>
      <c r="O124" s="9">
        <v>0</v>
      </c>
    </row>
    <row r="125" spans="1:15" x14ac:dyDescent="0.25">
      <c r="A125" t="s">
        <v>83</v>
      </c>
      <c r="B125" t="s">
        <v>27</v>
      </c>
      <c r="C125" t="s">
        <v>15</v>
      </c>
      <c r="D125" t="s">
        <v>18</v>
      </c>
      <c r="E125" t="s">
        <v>29</v>
      </c>
      <c r="F125"/>
      <c r="G125" s="6"/>
      <c r="H125" s="5"/>
      <c r="I125" s="8">
        <v>0.5</v>
      </c>
      <c r="J125" s="8">
        <v>0.5</v>
      </c>
      <c r="K125" s="9">
        <f t="shared" si="1"/>
        <v>0</v>
      </c>
      <c r="L125" s="9">
        <f t="shared" si="1"/>
        <v>0</v>
      </c>
      <c r="M125" s="9">
        <f>+Tabla13[[#This Row],[Avance meta general]]*$Q$2</f>
        <v>0</v>
      </c>
      <c r="N125" s="9">
        <f>+Tabla13[[#This Row],[Avance meta general]]*$R$2</f>
        <v>0</v>
      </c>
      <c r="O125" s="9">
        <v>0</v>
      </c>
    </row>
    <row r="126" spans="1:15" x14ac:dyDescent="0.25">
      <c r="A126" t="s">
        <v>83</v>
      </c>
      <c r="B126" t="s">
        <v>27</v>
      </c>
      <c r="C126" t="s">
        <v>15</v>
      </c>
      <c r="D126" t="s">
        <v>18</v>
      </c>
      <c r="E126" t="s">
        <v>44</v>
      </c>
      <c r="F126"/>
      <c r="G126" s="6"/>
      <c r="H126" s="5"/>
      <c r="I126" s="8">
        <v>0.5</v>
      </c>
      <c r="J126" s="8">
        <v>0.5</v>
      </c>
      <c r="K126" s="9">
        <f t="shared" si="1"/>
        <v>0</v>
      </c>
      <c r="L126" s="9">
        <f t="shared" si="1"/>
        <v>0</v>
      </c>
      <c r="M126" s="9">
        <f>+Tabla13[[#This Row],[Avance meta general]]*$Q$2</f>
        <v>0</v>
      </c>
      <c r="N126" s="9">
        <f>+Tabla13[[#This Row],[Avance meta general]]*$R$2</f>
        <v>0</v>
      </c>
      <c r="O126" s="9">
        <v>0</v>
      </c>
    </row>
    <row r="127" spans="1:15" x14ac:dyDescent="0.25">
      <c r="A127" t="s">
        <v>83</v>
      </c>
      <c r="B127" t="s">
        <v>27</v>
      </c>
      <c r="C127" t="s">
        <v>15</v>
      </c>
      <c r="D127" t="s">
        <v>16</v>
      </c>
      <c r="E127" t="s">
        <v>79</v>
      </c>
      <c r="F127"/>
      <c r="G127" s="6"/>
      <c r="H127" s="5"/>
      <c r="I127" s="8">
        <v>0.5</v>
      </c>
      <c r="J127" s="8">
        <v>0.5</v>
      </c>
      <c r="K127" s="9">
        <f t="shared" si="1"/>
        <v>0</v>
      </c>
      <c r="L127" s="9">
        <f t="shared" si="1"/>
        <v>0</v>
      </c>
      <c r="M127" s="9">
        <f>+Tabla13[[#This Row],[Avance meta general]]*$Q$2</f>
        <v>0</v>
      </c>
      <c r="N127" s="9">
        <f>+Tabla13[[#This Row],[Avance meta general]]*$R$2</f>
        <v>0</v>
      </c>
      <c r="O127" s="9">
        <v>0</v>
      </c>
    </row>
    <row r="128" spans="1:15" x14ac:dyDescent="0.25">
      <c r="A128" t="s">
        <v>83</v>
      </c>
      <c r="B128" t="s">
        <v>14</v>
      </c>
      <c r="C128" t="s">
        <v>31</v>
      </c>
      <c r="D128" t="s">
        <v>16</v>
      </c>
      <c r="E128" t="s">
        <v>71</v>
      </c>
      <c r="F128">
        <v>44</v>
      </c>
      <c r="G128" s="6">
        <f>IF(Tabla13[[#This Row],[Meta 26 antes DPV]]=0,"",(Tabla13[[#This Row],[Meta 26 antes DPV]]-Tabla13[[#This Row],[Meta 26 Piso]])/Tabla13[[#This Row],[Meta 26 antes DPV]])</f>
        <v>0.20454545454545456</v>
      </c>
      <c r="H128" s="5">
        <v>35</v>
      </c>
      <c r="I128" s="8">
        <v>0.5</v>
      </c>
      <c r="J128" s="8">
        <v>0.5</v>
      </c>
      <c r="K128" s="9">
        <f t="shared" si="1"/>
        <v>17.5</v>
      </c>
      <c r="L128" s="9">
        <f t="shared" si="1"/>
        <v>17.5</v>
      </c>
      <c r="M128" s="9">
        <f>+Tabla13[[#This Row],[Avance meta general]]*$Q$2</f>
        <v>4.2</v>
      </c>
      <c r="N128" s="9">
        <f>+Tabla13[[#This Row],[Avance meta general]]*$R$2</f>
        <v>2.8000000000000003</v>
      </c>
      <c r="O128" s="9">
        <v>7</v>
      </c>
    </row>
    <row r="129" spans="1:15" x14ac:dyDescent="0.25">
      <c r="A129" t="s">
        <v>83</v>
      </c>
      <c r="B129" t="s">
        <v>14</v>
      </c>
      <c r="C129" t="s">
        <v>31</v>
      </c>
      <c r="D129" t="s">
        <v>18</v>
      </c>
      <c r="E129" t="s">
        <v>88</v>
      </c>
      <c r="F129">
        <v>31</v>
      </c>
      <c r="G129" s="6">
        <f>IF(Tabla13[[#This Row],[Meta 26 antes DPV]]=0,"",(Tabla13[[#This Row],[Meta 26 antes DPV]]-Tabla13[[#This Row],[Meta 26 Piso]])/Tabla13[[#This Row],[Meta 26 antes DPV]])</f>
        <v>0.19354838709677419</v>
      </c>
      <c r="H129" s="5">
        <v>25</v>
      </c>
      <c r="I129" s="8">
        <v>0.5</v>
      </c>
      <c r="J129" s="8">
        <v>0.5</v>
      </c>
      <c r="K129" s="9">
        <f t="shared" si="1"/>
        <v>12.5</v>
      </c>
      <c r="L129" s="9">
        <f t="shared" si="1"/>
        <v>12.5</v>
      </c>
      <c r="M129" s="9">
        <f>+Tabla13[[#This Row],[Avance meta general]]*$Q$2</f>
        <v>0.6</v>
      </c>
      <c r="N129" s="9">
        <f>+Tabla13[[#This Row],[Avance meta general]]*$R$2</f>
        <v>0.4</v>
      </c>
      <c r="O129" s="9">
        <v>1</v>
      </c>
    </row>
    <row r="130" spans="1:15" x14ac:dyDescent="0.25">
      <c r="A130" t="s">
        <v>83</v>
      </c>
      <c r="B130" t="s">
        <v>23</v>
      </c>
      <c r="C130" t="s">
        <v>31</v>
      </c>
      <c r="D130" t="s">
        <v>18</v>
      </c>
      <c r="E130" t="s">
        <v>74</v>
      </c>
      <c r="F130">
        <v>25</v>
      </c>
      <c r="G130" s="6">
        <f>IF(Tabla13[[#This Row],[Meta 26 antes DPV]]=0,"",(Tabla13[[#This Row],[Meta 26 antes DPV]]-Tabla13[[#This Row],[Meta 26 Piso]])/Tabla13[[#This Row],[Meta 26 antes DPV]])</f>
        <v>0.2</v>
      </c>
      <c r="H130" s="5">
        <v>20</v>
      </c>
      <c r="I130" s="8">
        <v>0.5</v>
      </c>
      <c r="J130" s="8">
        <v>0.5</v>
      </c>
      <c r="K130" s="9">
        <f t="shared" si="1"/>
        <v>10</v>
      </c>
      <c r="L130" s="9">
        <f t="shared" si="1"/>
        <v>10</v>
      </c>
      <c r="M130" s="9">
        <f>+Tabla13[[#This Row],[Avance meta general]]*$Q$2</f>
        <v>0</v>
      </c>
      <c r="N130" s="9">
        <f>+Tabla13[[#This Row],[Avance meta general]]*$R$2</f>
        <v>0</v>
      </c>
      <c r="O130" s="9">
        <v>0</v>
      </c>
    </row>
    <row r="131" spans="1:15" x14ac:dyDescent="0.25">
      <c r="A131" t="s">
        <v>83</v>
      </c>
      <c r="B131" t="s">
        <v>23</v>
      </c>
      <c r="C131" t="s">
        <v>31</v>
      </c>
      <c r="D131" t="s">
        <v>18</v>
      </c>
      <c r="E131" t="s">
        <v>89</v>
      </c>
      <c r="F131"/>
      <c r="G131" s="6"/>
      <c r="H131" s="5"/>
      <c r="I131" s="8">
        <v>0.5</v>
      </c>
      <c r="J131" s="8">
        <v>0.5</v>
      </c>
      <c r="K131" s="9">
        <f t="shared" si="1"/>
        <v>0</v>
      </c>
      <c r="L131" s="9">
        <f t="shared" si="1"/>
        <v>0</v>
      </c>
      <c r="M131" s="9">
        <f>+Tabla13[[#This Row],[Avance meta general]]*$Q$2</f>
        <v>0</v>
      </c>
      <c r="N131" s="9">
        <f>+Tabla13[[#This Row],[Avance meta general]]*$R$2</f>
        <v>0</v>
      </c>
      <c r="O131" s="9">
        <v>0</v>
      </c>
    </row>
    <row r="132" spans="1:15" x14ac:dyDescent="0.25">
      <c r="A132" t="s">
        <v>83</v>
      </c>
      <c r="B132" t="s">
        <v>23</v>
      </c>
      <c r="C132" t="s">
        <v>31</v>
      </c>
      <c r="D132" t="s">
        <v>18</v>
      </c>
      <c r="E132" t="s">
        <v>72</v>
      </c>
      <c r="F132">
        <v>25</v>
      </c>
      <c r="G132" s="6">
        <f>IF(Tabla13[[#This Row],[Meta 26 antes DPV]]=0,"",(Tabla13[[#This Row],[Meta 26 antes DPV]]-Tabla13[[#This Row],[Meta 26 Piso]])/Tabla13[[#This Row],[Meta 26 antes DPV]])</f>
        <v>0.2</v>
      </c>
      <c r="H132" s="5">
        <v>20</v>
      </c>
      <c r="I132" s="8">
        <v>0.5</v>
      </c>
      <c r="J132" s="8">
        <v>0.5</v>
      </c>
      <c r="K132" s="9">
        <f t="shared" ref="K132:L157" si="2">IFERROR($H132*I132,"")</f>
        <v>10</v>
      </c>
      <c r="L132" s="9">
        <f t="shared" si="2"/>
        <v>10</v>
      </c>
      <c r="M132" s="9">
        <f>+Tabla13[[#This Row],[Avance meta general]]*$Q$2</f>
        <v>2.4</v>
      </c>
      <c r="N132" s="9">
        <f>+Tabla13[[#This Row],[Avance meta general]]*$R$2</f>
        <v>1.6</v>
      </c>
      <c r="O132" s="9">
        <v>4</v>
      </c>
    </row>
    <row r="133" spans="1:15" x14ac:dyDescent="0.25">
      <c r="A133" t="s">
        <v>83</v>
      </c>
      <c r="B133" t="s">
        <v>23</v>
      </c>
      <c r="C133" t="s">
        <v>31</v>
      </c>
      <c r="D133" t="s">
        <v>18</v>
      </c>
      <c r="E133" t="s">
        <v>90</v>
      </c>
      <c r="F133">
        <v>25</v>
      </c>
      <c r="G133" s="6">
        <f>IF(Tabla13[[#This Row],[Meta 26 antes DPV]]=0,"",(Tabla13[[#This Row],[Meta 26 antes DPV]]-Tabla13[[#This Row],[Meta 26 Piso]])/Tabla13[[#This Row],[Meta 26 antes DPV]])</f>
        <v>0.2</v>
      </c>
      <c r="H133" s="5">
        <v>20</v>
      </c>
      <c r="I133" s="8">
        <v>0.5</v>
      </c>
      <c r="J133" s="8">
        <v>0.5</v>
      </c>
      <c r="K133" s="9">
        <f t="shared" si="2"/>
        <v>10</v>
      </c>
      <c r="L133" s="9">
        <f t="shared" si="2"/>
        <v>10</v>
      </c>
      <c r="M133" s="9">
        <f>+Tabla13[[#This Row],[Avance meta general]]*$Q$2</f>
        <v>0.6</v>
      </c>
      <c r="N133" s="9">
        <f>+Tabla13[[#This Row],[Avance meta general]]*$R$2</f>
        <v>0.4</v>
      </c>
      <c r="O133" s="9">
        <v>1</v>
      </c>
    </row>
    <row r="134" spans="1:15" x14ac:dyDescent="0.25">
      <c r="A134" t="s">
        <v>83</v>
      </c>
      <c r="B134" t="s">
        <v>27</v>
      </c>
      <c r="C134" t="s">
        <v>31</v>
      </c>
      <c r="D134" t="s">
        <v>18</v>
      </c>
      <c r="E134" t="s">
        <v>91</v>
      </c>
      <c r="F134"/>
      <c r="G134" s="6"/>
      <c r="H134" s="5"/>
      <c r="I134" s="8">
        <v>0.5</v>
      </c>
      <c r="J134" s="8">
        <v>0.5</v>
      </c>
      <c r="K134" s="9">
        <f t="shared" si="2"/>
        <v>0</v>
      </c>
      <c r="L134" s="9">
        <f t="shared" si="2"/>
        <v>0</v>
      </c>
      <c r="M134" s="9">
        <f>+Tabla13[[#This Row],[Avance meta general]]*$Q$2</f>
        <v>0</v>
      </c>
      <c r="N134" s="9">
        <f>+Tabla13[[#This Row],[Avance meta general]]*$R$2</f>
        <v>0</v>
      </c>
      <c r="O134" s="9">
        <v>0</v>
      </c>
    </row>
    <row r="135" spans="1:15" x14ac:dyDescent="0.25">
      <c r="A135" t="s">
        <v>83</v>
      </c>
      <c r="B135" t="s">
        <v>14</v>
      </c>
      <c r="C135" t="s">
        <v>31</v>
      </c>
      <c r="D135" t="s">
        <v>18</v>
      </c>
      <c r="E135" t="s">
        <v>92</v>
      </c>
      <c r="F135">
        <v>21</v>
      </c>
      <c r="G135" s="6">
        <f>IF(Tabla13[[#This Row],[Meta 26 antes DPV]]=0,"",(Tabla13[[#This Row],[Meta 26 antes DPV]]-Tabla13[[#This Row],[Meta 26 Piso]])/Tabla13[[#This Row],[Meta 26 antes DPV]])</f>
        <v>4.7619047619047616E-2</v>
      </c>
      <c r="H135" s="5">
        <v>20</v>
      </c>
      <c r="I135" s="8">
        <v>0.5</v>
      </c>
      <c r="J135" s="8">
        <v>0.5</v>
      </c>
      <c r="K135" s="9">
        <f t="shared" si="2"/>
        <v>10</v>
      </c>
      <c r="L135" s="9">
        <f t="shared" si="2"/>
        <v>10</v>
      </c>
      <c r="M135" s="9">
        <f>+Tabla13[[#This Row],[Avance meta general]]*$Q$2</f>
        <v>6.6</v>
      </c>
      <c r="N135" s="9">
        <f>+Tabla13[[#This Row],[Avance meta general]]*$R$2</f>
        <v>4.4000000000000004</v>
      </c>
      <c r="O135" s="9">
        <v>11</v>
      </c>
    </row>
    <row r="136" spans="1:15" x14ac:dyDescent="0.25">
      <c r="A136" t="s">
        <v>93</v>
      </c>
      <c r="B136" t="s">
        <v>14</v>
      </c>
      <c r="C136" t="s">
        <v>94</v>
      </c>
      <c r="D136" t="s">
        <v>16</v>
      </c>
      <c r="E136" t="s">
        <v>94</v>
      </c>
      <c r="F136">
        <v>77</v>
      </c>
      <c r="G136" s="6">
        <f>IF(Tabla13[[#This Row],[Meta 26 antes DPV]]=0,"",(Tabla13[[#This Row],[Meta 26 antes DPV]]-Tabla13[[#This Row],[Meta 26 Piso]])/Tabla13[[#This Row],[Meta 26 antes DPV]])</f>
        <v>0.11688311688311688</v>
      </c>
      <c r="H136" s="5">
        <v>68</v>
      </c>
      <c r="I136" s="8">
        <v>0.4</v>
      </c>
      <c r="J136" s="8">
        <v>0.6</v>
      </c>
      <c r="K136" s="9">
        <f t="shared" si="2"/>
        <v>27.200000000000003</v>
      </c>
      <c r="L136" s="9">
        <f t="shared" si="2"/>
        <v>40.799999999999997</v>
      </c>
      <c r="M136" s="9">
        <f>+Tabla13[[#This Row],[Avance meta general]]*$Q$2</f>
        <v>10.199999999999999</v>
      </c>
      <c r="N136" s="9">
        <f>+Tabla13[[#This Row],[Avance meta general]]*$R$2</f>
        <v>6.8000000000000007</v>
      </c>
      <c r="O136" s="9">
        <v>17</v>
      </c>
    </row>
    <row r="137" spans="1:15" x14ac:dyDescent="0.25">
      <c r="A137" t="s">
        <v>93</v>
      </c>
      <c r="B137" t="s">
        <v>14</v>
      </c>
      <c r="C137" t="s">
        <v>95</v>
      </c>
      <c r="D137" t="s">
        <v>16</v>
      </c>
      <c r="E137" t="s">
        <v>95</v>
      </c>
      <c r="F137">
        <v>134</v>
      </c>
      <c r="G137" s="6">
        <f>IF(Tabla13[[#This Row],[Meta 26 antes DPV]]=0,"",(Tabla13[[#This Row],[Meta 26 antes DPV]]-Tabla13[[#This Row],[Meta 26 Piso]])/Tabla13[[#This Row],[Meta 26 antes DPV]])</f>
        <v>0.11194029850746269</v>
      </c>
      <c r="H137" s="5">
        <v>119</v>
      </c>
      <c r="I137" s="8">
        <v>0.4</v>
      </c>
      <c r="J137" s="8">
        <v>0.6</v>
      </c>
      <c r="K137" s="9">
        <f t="shared" si="2"/>
        <v>47.6</v>
      </c>
      <c r="L137" s="9">
        <f t="shared" si="2"/>
        <v>71.399999999999991</v>
      </c>
      <c r="M137" s="9">
        <f>+Tabla13[[#This Row],[Avance meta general]]*$Q$2</f>
        <v>15</v>
      </c>
      <c r="N137" s="9">
        <f>+Tabla13[[#This Row],[Avance meta general]]*$R$2</f>
        <v>10</v>
      </c>
      <c r="O137" s="9">
        <v>25</v>
      </c>
    </row>
    <row r="138" spans="1:15" x14ac:dyDescent="0.25">
      <c r="A138" t="s">
        <v>93</v>
      </c>
      <c r="B138" t="s">
        <v>14</v>
      </c>
      <c r="C138" t="s">
        <v>96</v>
      </c>
      <c r="D138" t="s">
        <v>16</v>
      </c>
      <c r="E138" t="s">
        <v>96</v>
      </c>
      <c r="F138">
        <v>81</v>
      </c>
      <c r="G138" s="6">
        <f>IF(Tabla13[[#This Row],[Meta 26 antes DPV]]=0,"",(Tabla13[[#This Row],[Meta 26 antes DPV]]-Tabla13[[#This Row],[Meta 26 Piso]])/Tabla13[[#This Row],[Meta 26 antes DPV]])</f>
        <v>4.9382716049382713E-2</v>
      </c>
      <c r="H138" s="5">
        <v>77</v>
      </c>
      <c r="I138" s="8">
        <v>0.4</v>
      </c>
      <c r="J138" s="8">
        <v>0.6</v>
      </c>
      <c r="K138" s="9">
        <f t="shared" si="2"/>
        <v>30.8</v>
      </c>
      <c r="L138" s="9">
        <f t="shared" si="2"/>
        <v>46.199999999999996</v>
      </c>
      <c r="M138" s="9">
        <f>+Tabla13[[#This Row],[Avance meta general]]*$Q$2</f>
        <v>13.2</v>
      </c>
      <c r="N138" s="9">
        <f>+Tabla13[[#This Row],[Avance meta general]]*$R$2</f>
        <v>8.8000000000000007</v>
      </c>
      <c r="O138" s="9">
        <v>22</v>
      </c>
    </row>
    <row r="139" spans="1:15" x14ac:dyDescent="0.25">
      <c r="A139" t="s">
        <v>93</v>
      </c>
      <c r="B139" t="s">
        <v>14</v>
      </c>
      <c r="C139" t="s">
        <v>97</v>
      </c>
      <c r="D139" t="s">
        <v>16</v>
      </c>
      <c r="E139" t="s">
        <v>97</v>
      </c>
      <c r="F139">
        <v>19</v>
      </c>
      <c r="G139" s="6">
        <f>IF(Tabla13[[#This Row],[Meta 26 antes DPV]]=0,"",(Tabla13[[#This Row],[Meta 26 antes DPV]]-Tabla13[[#This Row],[Meta 26 Piso]])/Tabla13[[#This Row],[Meta 26 antes DPV]])</f>
        <v>0.15789473684210525</v>
      </c>
      <c r="H139" s="5">
        <v>16</v>
      </c>
      <c r="I139" s="8">
        <v>0.4</v>
      </c>
      <c r="J139" s="8">
        <v>0.6</v>
      </c>
      <c r="K139" s="9">
        <f t="shared" si="2"/>
        <v>6.4</v>
      </c>
      <c r="L139" s="9">
        <f t="shared" si="2"/>
        <v>9.6</v>
      </c>
      <c r="M139" s="9">
        <f>+Tabla13[[#This Row],[Avance meta general]]*$Q$2</f>
        <v>3.5999999999999996</v>
      </c>
      <c r="N139" s="9">
        <f>+Tabla13[[#This Row],[Avance meta general]]*$R$2</f>
        <v>2.4000000000000004</v>
      </c>
      <c r="O139" s="9">
        <v>6</v>
      </c>
    </row>
    <row r="140" spans="1:15" x14ac:dyDescent="0.25">
      <c r="A140" t="s">
        <v>98</v>
      </c>
      <c r="B140" t="s">
        <v>14</v>
      </c>
      <c r="C140" t="s">
        <v>94</v>
      </c>
      <c r="D140" t="s">
        <v>16</v>
      </c>
      <c r="E140" t="s">
        <v>94</v>
      </c>
      <c r="F140">
        <v>32</v>
      </c>
      <c r="G140" s="6">
        <f>IF(Tabla13[[#This Row],[Meta 26 antes DPV]]=0,"",(Tabla13[[#This Row],[Meta 26 antes DPV]]-Tabla13[[#This Row],[Meta 26 Piso]])/Tabla13[[#This Row],[Meta 26 antes DPV]])</f>
        <v>9.375E-2</v>
      </c>
      <c r="H140" s="5">
        <v>29</v>
      </c>
      <c r="I140" s="8">
        <v>0.5</v>
      </c>
      <c r="J140" s="8">
        <v>0.5</v>
      </c>
      <c r="K140" s="9">
        <f t="shared" si="2"/>
        <v>14.5</v>
      </c>
      <c r="L140" s="9">
        <f t="shared" si="2"/>
        <v>14.5</v>
      </c>
      <c r="M140" s="9">
        <f>+Tabla13[[#This Row],[Avance meta general]]*$Q$2</f>
        <v>9.6</v>
      </c>
      <c r="N140" s="9">
        <f>+Tabla13[[#This Row],[Avance meta general]]*$R$2</f>
        <v>6.4</v>
      </c>
      <c r="O140" s="9">
        <v>16</v>
      </c>
    </row>
    <row r="141" spans="1:15" x14ac:dyDescent="0.25">
      <c r="A141" t="s">
        <v>98</v>
      </c>
      <c r="B141" t="s">
        <v>14</v>
      </c>
      <c r="C141" t="s">
        <v>95</v>
      </c>
      <c r="D141" t="s">
        <v>16</v>
      </c>
      <c r="E141" t="s">
        <v>95</v>
      </c>
      <c r="F141">
        <v>65</v>
      </c>
      <c r="G141" s="6">
        <f>IF(Tabla13[[#This Row],[Meta 26 antes DPV]]=0,"",(Tabla13[[#This Row],[Meta 26 antes DPV]]-Tabla13[[#This Row],[Meta 26 Piso]])/Tabla13[[#This Row],[Meta 26 antes DPV]])</f>
        <v>3.0769230769230771E-2</v>
      </c>
      <c r="H141" s="5">
        <v>63</v>
      </c>
      <c r="I141" s="8">
        <v>0.5</v>
      </c>
      <c r="J141" s="8">
        <v>0.5</v>
      </c>
      <c r="K141" s="9">
        <f t="shared" si="2"/>
        <v>31.5</v>
      </c>
      <c r="L141" s="9">
        <f t="shared" si="2"/>
        <v>31.5</v>
      </c>
      <c r="M141" s="9">
        <f>+Tabla13[[#This Row],[Avance meta general]]*$Q$2</f>
        <v>4.2</v>
      </c>
      <c r="N141" s="9">
        <f>+Tabla13[[#This Row],[Avance meta general]]*$R$2</f>
        <v>2.8000000000000003</v>
      </c>
      <c r="O141" s="9">
        <v>7</v>
      </c>
    </row>
    <row r="142" spans="1:15" x14ac:dyDescent="0.25">
      <c r="A142" t="s">
        <v>98</v>
      </c>
      <c r="B142" t="s">
        <v>14</v>
      </c>
      <c r="C142" t="s">
        <v>96</v>
      </c>
      <c r="D142" t="s">
        <v>16</v>
      </c>
      <c r="E142" t="s">
        <v>96</v>
      </c>
      <c r="F142">
        <v>28</v>
      </c>
      <c r="G142" s="6">
        <f>IF(Tabla13[[#This Row],[Meta 26 antes DPV]]=0,"",(Tabla13[[#This Row],[Meta 26 antes DPV]]-Tabla13[[#This Row],[Meta 26 Piso]])/Tabla13[[#This Row],[Meta 26 antes DPV]])</f>
        <v>0.17857142857142858</v>
      </c>
      <c r="H142" s="5">
        <v>23</v>
      </c>
      <c r="I142" s="8">
        <v>0.5</v>
      </c>
      <c r="J142" s="8">
        <v>0.5</v>
      </c>
      <c r="K142" s="9">
        <f t="shared" si="2"/>
        <v>11.5</v>
      </c>
      <c r="L142" s="9">
        <f t="shared" si="2"/>
        <v>11.5</v>
      </c>
      <c r="M142" s="9">
        <f>+Tabla13[[#This Row],[Avance meta general]]*$Q$2</f>
        <v>3.5999999999999996</v>
      </c>
      <c r="N142" s="9">
        <f>+Tabla13[[#This Row],[Avance meta general]]*$R$2</f>
        <v>2.4000000000000004</v>
      </c>
      <c r="O142" s="9">
        <v>6</v>
      </c>
    </row>
    <row r="143" spans="1:15" x14ac:dyDescent="0.25">
      <c r="A143" t="s">
        <v>98</v>
      </c>
      <c r="B143" t="s">
        <v>14</v>
      </c>
      <c r="C143" t="s">
        <v>97</v>
      </c>
      <c r="D143" t="s">
        <v>16</v>
      </c>
      <c r="E143" t="s">
        <v>97</v>
      </c>
      <c r="F143">
        <v>49</v>
      </c>
      <c r="G143" s="6">
        <f>IF(Tabla13[[#This Row],[Meta 26 antes DPV]]=0,"",(Tabla13[[#This Row],[Meta 26 antes DPV]]-Tabla13[[#This Row],[Meta 26 Piso]])/Tabla13[[#This Row],[Meta 26 antes DPV]])</f>
        <v>8.1632653061224483E-2</v>
      </c>
      <c r="H143" s="5">
        <v>45</v>
      </c>
      <c r="I143" s="8">
        <v>0.5</v>
      </c>
      <c r="J143" s="8">
        <v>0.5</v>
      </c>
      <c r="K143" s="9">
        <f t="shared" si="2"/>
        <v>22.5</v>
      </c>
      <c r="L143" s="9">
        <f t="shared" si="2"/>
        <v>22.5</v>
      </c>
      <c r="M143" s="9">
        <f>+Tabla13[[#This Row],[Avance meta general]]*$Q$2</f>
        <v>3</v>
      </c>
      <c r="N143" s="9">
        <f>+Tabla13[[#This Row],[Avance meta general]]*$R$2</f>
        <v>2</v>
      </c>
      <c r="O143" s="9">
        <v>5</v>
      </c>
    </row>
    <row r="144" spans="1:15" x14ac:dyDescent="0.25">
      <c r="A144" t="s">
        <v>99</v>
      </c>
      <c r="B144" t="s">
        <v>14</v>
      </c>
      <c r="C144" t="s">
        <v>94</v>
      </c>
      <c r="D144" t="s">
        <v>16</v>
      </c>
      <c r="E144" t="s">
        <v>94</v>
      </c>
      <c r="F144">
        <v>20</v>
      </c>
      <c r="G144" s="6">
        <f>IF(Tabla13[[#This Row],[Meta 26 antes DPV]]=0,"",(Tabla13[[#This Row],[Meta 26 antes DPV]]-Tabla13[[#This Row],[Meta 26 Piso]])/Tabla13[[#This Row],[Meta 26 antes DPV]])</f>
        <v>0.25</v>
      </c>
      <c r="H144" s="5">
        <v>15</v>
      </c>
      <c r="I144" s="8">
        <v>0.4</v>
      </c>
      <c r="J144" s="8">
        <v>0.6</v>
      </c>
      <c r="K144" s="9">
        <f t="shared" si="2"/>
        <v>6</v>
      </c>
      <c r="L144" s="9">
        <f t="shared" si="2"/>
        <v>9</v>
      </c>
      <c r="M144" s="9">
        <f>+Tabla13[[#This Row],[Avance meta general]]*$Q$2</f>
        <v>0</v>
      </c>
      <c r="N144" s="9">
        <f>+Tabla13[[#This Row],[Avance meta general]]*$R$2</f>
        <v>0</v>
      </c>
      <c r="O144" s="9">
        <v>0</v>
      </c>
    </row>
    <row r="145" spans="1:15" x14ac:dyDescent="0.25">
      <c r="A145" t="s">
        <v>99</v>
      </c>
      <c r="B145" t="s">
        <v>14</v>
      </c>
      <c r="C145" t="s">
        <v>95</v>
      </c>
      <c r="D145" t="s">
        <v>16</v>
      </c>
      <c r="E145" t="s">
        <v>95</v>
      </c>
      <c r="F145">
        <v>72</v>
      </c>
      <c r="G145" s="6">
        <f>IF(Tabla13[[#This Row],[Meta 26 antes DPV]]=0,"",(Tabla13[[#This Row],[Meta 26 antes DPV]]-Tabla13[[#This Row],[Meta 26 Piso]])/Tabla13[[#This Row],[Meta 26 antes DPV]])</f>
        <v>0.34722222222222221</v>
      </c>
      <c r="H145" s="5">
        <v>47</v>
      </c>
      <c r="I145" s="8">
        <v>0.4</v>
      </c>
      <c r="J145" s="8">
        <v>0.6</v>
      </c>
      <c r="K145" s="9">
        <f t="shared" si="2"/>
        <v>18.8</v>
      </c>
      <c r="L145" s="9">
        <f t="shared" si="2"/>
        <v>28.2</v>
      </c>
      <c r="M145" s="9">
        <f>+Tabla13[[#This Row],[Avance meta general]]*$Q$2</f>
        <v>1.7999999999999998</v>
      </c>
      <c r="N145" s="9">
        <f>+Tabla13[[#This Row],[Avance meta general]]*$R$2</f>
        <v>1.2000000000000002</v>
      </c>
      <c r="O145" s="9">
        <v>3</v>
      </c>
    </row>
    <row r="146" spans="1:15" x14ac:dyDescent="0.25">
      <c r="A146" t="s">
        <v>99</v>
      </c>
      <c r="B146" t="s">
        <v>14</v>
      </c>
      <c r="C146" t="s">
        <v>96</v>
      </c>
      <c r="D146" t="s">
        <v>16</v>
      </c>
      <c r="E146" t="s">
        <v>96</v>
      </c>
      <c r="F146">
        <v>34</v>
      </c>
      <c r="G146" s="6">
        <f>IF(Tabla13[[#This Row],[Meta 26 antes DPV]]=0,"",(Tabla13[[#This Row],[Meta 26 antes DPV]]-Tabla13[[#This Row],[Meta 26 Piso]])/Tabla13[[#This Row],[Meta 26 antes DPV]])</f>
        <v>0.38235294117647056</v>
      </c>
      <c r="H146" s="5">
        <v>21</v>
      </c>
      <c r="I146" s="8">
        <v>0.4</v>
      </c>
      <c r="J146" s="8">
        <v>0.6</v>
      </c>
      <c r="K146" s="9">
        <f t="shared" si="2"/>
        <v>8.4</v>
      </c>
      <c r="L146" s="9">
        <f t="shared" si="2"/>
        <v>12.6</v>
      </c>
      <c r="M146" s="9">
        <f>+Tabla13[[#This Row],[Avance meta general]]*$Q$2</f>
        <v>2.4</v>
      </c>
      <c r="N146" s="9">
        <f>+Tabla13[[#This Row],[Avance meta general]]*$R$2</f>
        <v>1.6</v>
      </c>
      <c r="O146" s="9">
        <v>4</v>
      </c>
    </row>
    <row r="147" spans="1:15" x14ac:dyDescent="0.25">
      <c r="A147" t="s">
        <v>99</v>
      </c>
      <c r="B147" t="s">
        <v>14</v>
      </c>
      <c r="C147" t="s">
        <v>97</v>
      </c>
      <c r="D147" t="s">
        <v>16</v>
      </c>
      <c r="E147" t="s">
        <v>97</v>
      </c>
      <c r="F147">
        <v>30</v>
      </c>
      <c r="G147" s="6">
        <f>IF(Tabla13[[#This Row],[Meta 26 antes DPV]]=0,"",(Tabla13[[#This Row],[Meta 26 antes DPV]]-Tabla13[[#This Row],[Meta 26 Piso]])/Tabla13[[#This Row],[Meta 26 antes DPV]])</f>
        <v>0.43333333333333335</v>
      </c>
      <c r="H147" s="5">
        <v>17</v>
      </c>
      <c r="I147" s="8">
        <v>0.4</v>
      </c>
      <c r="J147" s="8">
        <v>0.6</v>
      </c>
      <c r="K147" s="9">
        <f t="shared" si="2"/>
        <v>6.8000000000000007</v>
      </c>
      <c r="L147" s="9">
        <f t="shared" si="2"/>
        <v>10.199999999999999</v>
      </c>
      <c r="M147" s="9">
        <f>+Tabla13[[#This Row],[Avance meta general]]*$Q$2</f>
        <v>0</v>
      </c>
      <c r="N147" s="9">
        <f>+Tabla13[[#This Row],[Avance meta general]]*$R$2</f>
        <v>0</v>
      </c>
      <c r="O147" s="9">
        <v>0</v>
      </c>
    </row>
    <row r="148" spans="1:15" x14ac:dyDescent="0.25">
      <c r="A148" t="s">
        <v>100</v>
      </c>
      <c r="B148" t="s">
        <v>14</v>
      </c>
      <c r="C148" t="s">
        <v>15</v>
      </c>
      <c r="D148" t="s">
        <v>16</v>
      </c>
      <c r="E148" t="s">
        <v>21</v>
      </c>
      <c r="F148">
        <v>90</v>
      </c>
      <c r="G148" s="6">
        <f>IF(Tabla13[[#This Row],[Meta 26 antes DPV]]=0,"",(Tabla13[[#This Row],[Meta 26 antes DPV]]-Tabla13[[#This Row],[Meta 26 Piso]])/Tabla13[[#This Row],[Meta 26 antes DPV]])</f>
        <v>0.2</v>
      </c>
      <c r="H148" s="5">
        <v>72</v>
      </c>
      <c r="I148" s="8">
        <v>0.1</v>
      </c>
      <c r="J148" s="8">
        <v>0.9</v>
      </c>
      <c r="K148" s="9">
        <f t="shared" si="2"/>
        <v>7.2</v>
      </c>
      <c r="L148" s="9">
        <f t="shared" si="2"/>
        <v>64.8</v>
      </c>
      <c r="M148" s="9">
        <f>+Tabla13[[#This Row],[Avance meta general]]*$Q$2</f>
        <v>4.2</v>
      </c>
      <c r="N148" s="9">
        <f>+Tabla13[[#This Row],[Avance meta general]]*$R$2</f>
        <v>2.8000000000000003</v>
      </c>
      <c r="O148" s="9">
        <v>7</v>
      </c>
    </row>
    <row r="149" spans="1:15" x14ac:dyDescent="0.25">
      <c r="A149" t="s">
        <v>100</v>
      </c>
      <c r="B149" t="s">
        <v>14</v>
      </c>
      <c r="C149" t="s">
        <v>15</v>
      </c>
      <c r="D149" t="s">
        <v>16</v>
      </c>
      <c r="E149" t="s">
        <v>22</v>
      </c>
      <c r="F149">
        <v>60</v>
      </c>
      <c r="G149" s="6">
        <f>IF(Tabla13[[#This Row],[Meta 26 antes DPV]]=0,"",(Tabla13[[#This Row],[Meta 26 antes DPV]]-Tabla13[[#This Row],[Meta 26 Piso]])/Tabla13[[#This Row],[Meta 26 antes DPV]])</f>
        <v>0.2</v>
      </c>
      <c r="H149" s="5">
        <v>48</v>
      </c>
      <c r="I149" s="8">
        <v>0.1</v>
      </c>
      <c r="J149" s="8">
        <v>0.9</v>
      </c>
      <c r="K149" s="9">
        <f t="shared" si="2"/>
        <v>4.8000000000000007</v>
      </c>
      <c r="L149" s="9">
        <f t="shared" si="2"/>
        <v>43.2</v>
      </c>
      <c r="M149" s="9">
        <f>+Tabla13[[#This Row],[Avance meta general]]*$Q$2</f>
        <v>0.6</v>
      </c>
      <c r="N149" s="9">
        <f>+Tabla13[[#This Row],[Avance meta general]]*$R$2</f>
        <v>0.4</v>
      </c>
      <c r="O149" s="9">
        <v>1</v>
      </c>
    </row>
    <row r="150" spans="1:15" x14ac:dyDescent="0.25">
      <c r="A150" t="s">
        <v>100</v>
      </c>
      <c r="B150" t="s">
        <v>14</v>
      </c>
      <c r="C150" t="s">
        <v>15</v>
      </c>
      <c r="D150" t="s">
        <v>16</v>
      </c>
      <c r="E150" t="s">
        <v>29</v>
      </c>
      <c r="F150">
        <v>60</v>
      </c>
      <c r="G150" s="6">
        <f>IF(Tabla13[[#This Row],[Meta 26 antes DPV]]=0,"",(Tabla13[[#This Row],[Meta 26 antes DPV]]-Tabla13[[#This Row],[Meta 26 Piso]])/Tabla13[[#This Row],[Meta 26 antes DPV]])</f>
        <v>0.2</v>
      </c>
      <c r="H150" s="5">
        <v>48</v>
      </c>
      <c r="I150" s="8">
        <v>0.1</v>
      </c>
      <c r="J150" s="8">
        <v>0.9</v>
      </c>
      <c r="K150" s="9">
        <f t="shared" si="2"/>
        <v>4.8000000000000007</v>
      </c>
      <c r="L150" s="9">
        <f t="shared" si="2"/>
        <v>43.2</v>
      </c>
      <c r="M150" s="9">
        <f>+Tabla13[[#This Row],[Avance meta general]]*$Q$2</f>
        <v>1.7999999999999998</v>
      </c>
      <c r="N150" s="9">
        <f>+Tabla13[[#This Row],[Avance meta general]]*$R$2</f>
        <v>1.2000000000000002</v>
      </c>
      <c r="O150" s="9">
        <v>3</v>
      </c>
    </row>
    <row r="151" spans="1:15" x14ac:dyDescent="0.25">
      <c r="A151" t="s">
        <v>100</v>
      </c>
      <c r="B151" t="s">
        <v>14</v>
      </c>
      <c r="C151" t="s">
        <v>15</v>
      </c>
      <c r="D151" t="s">
        <v>16</v>
      </c>
      <c r="E151" t="s">
        <v>101</v>
      </c>
      <c r="F151">
        <v>60</v>
      </c>
      <c r="G151" s="6">
        <f>IF(Tabla13[[#This Row],[Meta 26 antes DPV]]=0,"",(Tabla13[[#This Row],[Meta 26 antes DPV]]-Tabla13[[#This Row],[Meta 26 Piso]])/Tabla13[[#This Row],[Meta 26 antes DPV]])</f>
        <v>0.2</v>
      </c>
      <c r="H151" s="5">
        <v>48</v>
      </c>
      <c r="I151" s="8">
        <v>0.1</v>
      </c>
      <c r="J151" s="8">
        <v>0.9</v>
      </c>
      <c r="K151" s="9">
        <f t="shared" si="2"/>
        <v>4.8000000000000007</v>
      </c>
      <c r="L151" s="9">
        <f t="shared" si="2"/>
        <v>43.2</v>
      </c>
      <c r="M151" s="9">
        <f>+Tabla13[[#This Row],[Avance meta general]]*$Q$2</f>
        <v>0.6</v>
      </c>
      <c r="N151" s="9">
        <f>+Tabla13[[#This Row],[Avance meta general]]*$R$2</f>
        <v>0.4</v>
      </c>
      <c r="O151" s="9">
        <v>1</v>
      </c>
    </row>
    <row r="152" spans="1:15" x14ac:dyDescent="0.25">
      <c r="A152" t="s">
        <v>100</v>
      </c>
      <c r="B152" t="s">
        <v>14</v>
      </c>
      <c r="C152" t="s">
        <v>15</v>
      </c>
      <c r="D152" t="s">
        <v>16</v>
      </c>
      <c r="E152" t="s">
        <v>102</v>
      </c>
      <c r="F152">
        <v>120</v>
      </c>
      <c r="G152" s="6">
        <f>IF(Tabla13[[#This Row],[Meta 26 antes DPV]]=0,"",(Tabla13[[#This Row],[Meta 26 antes DPV]]-Tabla13[[#This Row],[Meta 26 Piso]])/Tabla13[[#This Row],[Meta 26 antes DPV]])</f>
        <v>0.2</v>
      </c>
      <c r="H152" s="5">
        <v>96</v>
      </c>
      <c r="I152" s="8">
        <v>0.1</v>
      </c>
      <c r="J152" s="8">
        <v>0.9</v>
      </c>
      <c r="K152" s="9">
        <f t="shared" si="2"/>
        <v>9.6000000000000014</v>
      </c>
      <c r="L152" s="9">
        <f t="shared" si="2"/>
        <v>86.4</v>
      </c>
      <c r="M152" s="9">
        <f>+Tabla13[[#This Row],[Avance meta general]]*$Q$2</f>
        <v>0.6</v>
      </c>
      <c r="N152" s="9">
        <f>+Tabla13[[#This Row],[Avance meta general]]*$R$2</f>
        <v>0.4</v>
      </c>
      <c r="O152" s="9">
        <v>1</v>
      </c>
    </row>
    <row r="153" spans="1:15" x14ac:dyDescent="0.25">
      <c r="A153" t="s">
        <v>100</v>
      </c>
      <c r="B153" t="s">
        <v>23</v>
      </c>
      <c r="C153" t="s">
        <v>15</v>
      </c>
      <c r="D153" t="s">
        <v>16</v>
      </c>
      <c r="E153" t="s">
        <v>103</v>
      </c>
      <c r="F153">
        <v>50</v>
      </c>
      <c r="G153" s="6">
        <f>IF(Tabla13[[#This Row],[Meta 26 antes DPV]]=0,"",(Tabla13[[#This Row],[Meta 26 antes DPV]]-Tabla13[[#This Row],[Meta 26 Piso]])/Tabla13[[#This Row],[Meta 26 antes DPV]])</f>
        <v>0.2</v>
      </c>
      <c r="H153" s="5">
        <v>40</v>
      </c>
      <c r="I153" s="8">
        <v>0.1</v>
      </c>
      <c r="J153" s="8">
        <v>0.9</v>
      </c>
      <c r="K153" s="9">
        <f t="shared" si="2"/>
        <v>4</v>
      </c>
      <c r="L153" s="9">
        <f t="shared" si="2"/>
        <v>36</v>
      </c>
      <c r="M153" s="9">
        <f>+Tabla13[[#This Row],[Avance meta general]]*$Q$2</f>
        <v>1.7999999999999998</v>
      </c>
      <c r="N153" s="9">
        <f>+Tabla13[[#This Row],[Avance meta general]]*$R$2</f>
        <v>1.2000000000000002</v>
      </c>
      <c r="O153" s="9">
        <v>3</v>
      </c>
    </row>
    <row r="154" spans="1:15" x14ac:dyDescent="0.25">
      <c r="A154" t="s">
        <v>100</v>
      </c>
      <c r="B154" t="s">
        <v>23</v>
      </c>
      <c r="C154" t="s">
        <v>15</v>
      </c>
      <c r="D154" t="s">
        <v>16</v>
      </c>
      <c r="E154" t="s">
        <v>104</v>
      </c>
      <c r="F154">
        <v>40</v>
      </c>
      <c r="G154" s="6">
        <f>IF(Tabla13[[#This Row],[Meta 26 antes DPV]]=0,"",(Tabla13[[#This Row],[Meta 26 antes DPV]]-Tabla13[[#This Row],[Meta 26 Piso]])/Tabla13[[#This Row],[Meta 26 antes DPV]])</f>
        <v>0.2</v>
      </c>
      <c r="H154" s="5">
        <v>32</v>
      </c>
      <c r="I154" s="8">
        <v>0.1</v>
      </c>
      <c r="J154" s="8">
        <v>0.9</v>
      </c>
      <c r="K154" s="9">
        <f t="shared" si="2"/>
        <v>3.2</v>
      </c>
      <c r="L154" s="9">
        <f t="shared" si="2"/>
        <v>28.8</v>
      </c>
      <c r="M154" s="9">
        <f>+Tabla13[[#This Row],[Avance meta general]]*$Q$2</f>
        <v>1.2</v>
      </c>
      <c r="N154" s="9">
        <f>+Tabla13[[#This Row],[Avance meta general]]*$R$2</f>
        <v>0.8</v>
      </c>
      <c r="O154" s="9">
        <v>2</v>
      </c>
    </row>
    <row r="155" spans="1:15" x14ac:dyDescent="0.25">
      <c r="A155" t="s">
        <v>100</v>
      </c>
      <c r="B155" t="s">
        <v>23</v>
      </c>
      <c r="C155" t="s">
        <v>15</v>
      </c>
      <c r="D155" t="s">
        <v>16</v>
      </c>
      <c r="E155" t="s">
        <v>77</v>
      </c>
      <c r="F155" s="9">
        <v>0</v>
      </c>
      <c r="G155" s="9">
        <v>0</v>
      </c>
      <c r="H155" s="6">
        <v>0.02</v>
      </c>
      <c r="I155" s="8">
        <v>0.1</v>
      </c>
      <c r="J155" s="8">
        <v>0.9</v>
      </c>
      <c r="K155" s="9">
        <f t="shared" si="2"/>
        <v>2E-3</v>
      </c>
      <c r="L155" s="9">
        <f t="shared" si="2"/>
        <v>1.8000000000000002E-2</v>
      </c>
      <c r="M155" s="9">
        <f>+Tabla13[[#This Row],[Avance meta general]]*$Q$2</f>
        <v>1.2</v>
      </c>
      <c r="N155" s="9">
        <f>+Tabla13[[#This Row],[Avance meta general]]*$R$2</f>
        <v>0.8</v>
      </c>
      <c r="O155" s="9">
        <v>2</v>
      </c>
    </row>
    <row r="156" spans="1:15" x14ac:dyDescent="0.25">
      <c r="A156" t="s">
        <v>100</v>
      </c>
      <c r="B156" t="s">
        <v>23</v>
      </c>
      <c r="C156" t="s">
        <v>15</v>
      </c>
      <c r="D156" t="s">
        <v>16</v>
      </c>
      <c r="E156" t="s">
        <v>105</v>
      </c>
      <c r="F156">
        <v>25</v>
      </c>
      <c r="G156" s="6">
        <f>IF(Tabla13[[#This Row],[Meta 26 antes DPV]]=0,"",(Tabla13[[#This Row],[Meta 26 antes DPV]]-Tabla13[[#This Row],[Meta 26 Piso]])/Tabla13[[#This Row],[Meta 26 antes DPV]])</f>
        <v>0.2</v>
      </c>
      <c r="H156" s="5">
        <v>20</v>
      </c>
      <c r="I156" s="8">
        <v>0.1</v>
      </c>
      <c r="J156" s="8">
        <v>0.9</v>
      </c>
      <c r="K156" s="9">
        <f t="shared" si="2"/>
        <v>2</v>
      </c>
      <c r="L156" s="9">
        <f t="shared" si="2"/>
        <v>18</v>
      </c>
      <c r="M156" s="9">
        <f>+Tabla13[[#This Row],[Avance meta general]]*$Q$2</f>
        <v>0</v>
      </c>
      <c r="N156" s="9">
        <f>+Tabla13[[#This Row],[Avance meta general]]*$R$2</f>
        <v>0</v>
      </c>
      <c r="O156" s="9">
        <v>0</v>
      </c>
    </row>
    <row r="157" spans="1:15" x14ac:dyDescent="0.25">
      <c r="A157" t="s">
        <v>100</v>
      </c>
      <c r="B157" t="s">
        <v>23</v>
      </c>
      <c r="C157" t="s">
        <v>15</v>
      </c>
      <c r="D157" t="s">
        <v>16</v>
      </c>
      <c r="E157" t="s">
        <v>45</v>
      </c>
      <c r="F157">
        <v>25</v>
      </c>
      <c r="G157" s="6">
        <f>IF(Tabla13[[#This Row],[Meta 26 antes DPV]]=0,"",(Tabla13[[#This Row],[Meta 26 antes DPV]]-Tabla13[[#This Row],[Meta 26 Piso]])/Tabla13[[#This Row],[Meta 26 antes DPV]])</f>
        <v>0.2</v>
      </c>
      <c r="H157" s="5">
        <v>20</v>
      </c>
      <c r="I157" s="8">
        <v>0.1</v>
      </c>
      <c r="J157" s="8">
        <v>0.9</v>
      </c>
      <c r="K157" s="9">
        <f t="shared" si="2"/>
        <v>2</v>
      </c>
      <c r="L157" s="9">
        <f t="shared" si="2"/>
        <v>18</v>
      </c>
      <c r="M157" s="9">
        <f>+Tabla13[[#This Row],[Avance meta general]]*$Q$2</f>
        <v>0</v>
      </c>
      <c r="N157" s="9">
        <f>+Tabla13[[#This Row],[Avance meta general]]*$R$2</f>
        <v>0</v>
      </c>
      <c r="O157" s="9">
        <v>0</v>
      </c>
    </row>
    <row r="158" spans="1:15" x14ac:dyDescent="0.25">
      <c r="A158" t="s">
        <v>124</v>
      </c>
      <c r="C158" t="s">
        <v>15</v>
      </c>
      <c r="G158" s="16" t="str">
        <f>IF(Tabla13[[#This Row],[Meta 26 antes DPV]]=0,"",(Tabla13[[#This Row],[Meta 26 antes DPV]]-Tabla13[[#This Row],[Meta 26 Piso]])/Tabla13[[#This Row],[Meta 26 antes DPV]])</f>
        <v/>
      </c>
      <c r="H158" s="5"/>
      <c r="I158" s="8"/>
      <c r="J158" s="8"/>
      <c r="K158" s="9">
        <f>IFERROR($H158*I158,"")</f>
        <v>0</v>
      </c>
      <c r="L158" s="9">
        <f>IFERROR($H158*J158,"")</f>
        <v>0</v>
      </c>
      <c r="M158" s="9"/>
      <c r="N158" s="9"/>
      <c r="O158" s="9" t="str">
        <f>+IF(Tabla13[[#This Row],[Meta 26 Piso]]="","",Tabla13[[#This Row],[Meta 26 Piso]]*0.75)</f>
        <v/>
      </c>
    </row>
    <row r="159" spans="1:15" x14ac:dyDescent="0.25">
      <c r="A159" t="s">
        <v>125</v>
      </c>
      <c r="C159" t="s">
        <v>15</v>
      </c>
      <c r="G159" s="16" t="str">
        <f>IF(Tabla13[[#This Row],[Meta 26 antes DPV]]=0,"",(Tabla13[[#This Row],[Meta 26 antes DPV]]-Tabla13[[#This Row],[Meta 26 Piso]])/Tabla13[[#This Row],[Meta 26 antes DPV]])</f>
        <v/>
      </c>
      <c r="H159" s="5"/>
      <c r="I159" s="8"/>
      <c r="J159" s="8"/>
      <c r="K159" s="9">
        <f t="shared" ref="K159:K163" si="3">IFERROR($H159*I159,"")</f>
        <v>0</v>
      </c>
      <c r="L159" s="9">
        <f t="shared" ref="L159:L163" si="4">IFERROR($H159*J159,"")</f>
        <v>0</v>
      </c>
      <c r="M159" s="9"/>
      <c r="N159" s="9"/>
      <c r="O159" s="9" t="str">
        <f>+IF(Tabla13[[#This Row],[Meta 26 Piso]]="","",Tabla13[[#This Row],[Meta 26 Piso]]*0.75)</f>
        <v/>
      </c>
    </row>
    <row r="160" spans="1:15" x14ac:dyDescent="0.25">
      <c r="A160" t="s">
        <v>126</v>
      </c>
      <c r="C160" t="s">
        <v>15</v>
      </c>
      <c r="G160" s="16" t="str">
        <f>IF(Tabla13[[#This Row],[Meta 26 antes DPV]]=0,"",(Tabla13[[#This Row],[Meta 26 antes DPV]]-Tabla13[[#This Row],[Meta 26 Piso]])/Tabla13[[#This Row],[Meta 26 antes DPV]])</f>
        <v/>
      </c>
      <c r="H160" s="5"/>
      <c r="I160" s="8"/>
      <c r="J160" s="8"/>
      <c r="K160" s="9">
        <f t="shared" si="3"/>
        <v>0</v>
      </c>
      <c r="L160" s="9">
        <f t="shared" si="4"/>
        <v>0</v>
      </c>
      <c r="M160" s="9"/>
      <c r="N160" s="9"/>
      <c r="O160" s="9" t="str">
        <f>+IF(Tabla13[[#This Row],[Meta 26 Piso]]="","",Tabla13[[#This Row],[Meta 26 Piso]]*0.75)</f>
        <v/>
      </c>
    </row>
    <row r="161" spans="1:15" x14ac:dyDescent="0.25">
      <c r="A161" t="s">
        <v>127</v>
      </c>
      <c r="C161" t="s">
        <v>15</v>
      </c>
      <c r="G161" s="16" t="str">
        <f>IF(Tabla13[[#This Row],[Meta 26 antes DPV]]=0,"",(Tabla13[[#This Row],[Meta 26 antes DPV]]-Tabla13[[#This Row],[Meta 26 Piso]])/Tabla13[[#This Row],[Meta 26 antes DPV]])</f>
        <v/>
      </c>
      <c r="H161" s="5"/>
      <c r="I161" s="8"/>
      <c r="J161" s="8"/>
      <c r="K161" s="9">
        <f t="shared" si="3"/>
        <v>0</v>
      </c>
      <c r="L161" s="9">
        <f t="shared" si="4"/>
        <v>0</v>
      </c>
      <c r="M161" s="9"/>
      <c r="N161" s="9"/>
      <c r="O161" s="9" t="str">
        <f>+IF(Tabla13[[#This Row],[Meta 26 Piso]]="","",Tabla13[[#This Row],[Meta 26 Piso]]*0.75)</f>
        <v/>
      </c>
    </row>
    <row r="162" spans="1:15" x14ac:dyDescent="0.25">
      <c r="A162" t="s">
        <v>128</v>
      </c>
      <c r="C162" t="s">
        <v>15</v>
      </c>
      <c r="G162" s="16" t="str">
        <f>IF(Tabla13[[#This Row],[Meta 26 antes DPV]]=0,"",(Tabla13[[#This Row],[Meta 26 antes DPV]]-Tabla13[[#This Row],[Meta 26 Piso]])/Tabla13[[#This Row],[Meta 26 antes DPV]])</f>
        <v/>
      </c>
      <c r="H162" s="5"/>
      <c r="I162" s="8"/>
      <c r="J162" s="8"/>
      <c r="K162" s="9">
        <f t="shared" si="3"/>
        <v>0</v>
      </c>
      <c r="L162" s="9">
        <f t="shared" si="4"/>
        <v>0</v>
      </c>
      <c r="M162" s="9"/>
      <c r="N162" s="9"/>
      <c r="O162" s="9" t="str">
        <f>+IF(Tabla13[[#This Row],[Meta 26 Piso]]="","",Tabla13[[#This Row],[Meta 26 Piso]]*0.75)</f>
        <v/>
      </c>
    </row>
    <row r="163" spans="1:15" x14ac:dyDescent="0.25">
      <c r="A163" t="s">
        <v>100</v>
      </c>
      <c r="C163" t="s">
        <v>15</v>
      </c>
      <c r="G163" s="16" t="str">
        <f>IF(Tabla13[[#This Row],[Meta 26 antes DPV]]=0,"",(Tabla13[[#This Row],[Meta 26 antes DPV]]-Tabla13[[#This Row],[Meta 26 Piso]])/Tabla13[[#This Row],[Meta 26 antes DPV]])</f>
        <v/>
      </c>
      <c r="H163" s="5"/>
      <c r="I163" s="8"/>
      <c r="J163" s="8"/>
      <c r="K163" s="9">
        <f t="shared" si="3"/>
        <v>0</v>
      </c>
      <c r="L163" s="9">
        <f t="shared" si="4"/>
        <v>0</v>
      </c>
      <c r="M163" s="9"/>
      <c r="N163" s="9"/>
      <c r="O163" s="9" t="str">
        <f>+IF(Tabla13[[#This Row],[Meta 26 Piso]]="","",Tabla13[[#This Row],[Meta 26 Piso]]*0.75)</f>
        <v/>
      </c>
    </row>
    <row r="164" spans="1:15" x14ac:dyDescent="0.25">
      <c r="A164" t="s">
        <v>124</v>
      </c>
      <c r="C164" t="s">
        <v>31</v>
      </c>
      <c r="G164" s="16" t="str">
        <f>IF(Tabla13[[#This Row],[Meta 26 antes DPV]]=0,"",(Tabla13[[#This Row],[Meta 26 antes DPV]]-Tabla13[[#This Row],[Meta 26 Piso]])/Tabla13[[#This Row],[Meta 26 antes DPV]])</f>
        <v/>
      </c>
      <c r="H164" s="5"/>
      <c r="I164" s="8"/>
      <c r="J164" s="8"/>
      <c r="K164" s="9">
        <f>IFERROR($H164*I164,"")</f>
        <v>0</v>
      </c>
      <c r="L164" s="9">
        <f>IFERROR($H164*J164,"")</f>
        <v>0</v>
      </c>
      <c r="M164" s="9"/>
      <c r="N164" s="9"/>
      <c r="O164" s="9" t="str">
        <f>+IF(Tabla13[[#This Row],[Meta 26 Piso]]="","",Tabla13[[#This Row],[Meta 26 Piso]]*0.75)</f>
        <v/>
      </c>
    </row>
    <row r="165" spans="1:15" x14ac:dyDescent="0.25">
      <c r="A165" t="s">
        <v>125</v>
      </c>
      <c r="C165" t="s">
        <v>31</v>
      </c>
      <c r="G165" s="16" t="str">
        <f>IF(Tabla13[[#This Row],[Meta 26 antes DPV]]=0,"",(Tabla13[[#This Row],[Meta 26 antes DPV]]-Tabla13[[#This Row],[Meta 26 Piso]])/Tabla13[[#This Row],[Meta 26 antes DPV]])</f>
        <v/>
      </c>
      <c r="H165" s="5"/>
      <c r="I165" s="8"/>
      <c r="J165" s="8"/>
      <c r="K165" s="9">
        <f>IFERROR($H165*I165,"")</f>
        <v>0</v>
      </c>
      <c r="L165" s="9">
        <f>IFERROR($H165*J165,"")</f>
        <v>0</v>
      </c>
      <c r="M165" s="9"/>
      <c r="N165" s="9"/>
      <c r="O165" s="9" t="str">
        <f>+IF(Tabla13[[#This Row],[Meta 26 Piso]]="","",Tabla13[[#This Row],[Meta 26 Piso]]*0.75)</f>
        <v/>
      </c>
    </row>
    <row r="166" spans="1:15" x14ac:dyDescent="0.25">
      <c r="A166" t="s">
        <v>126</v>
      </c>
      <c r="C166" t="s">
        <v>31</v>
      </c>
      <c r="G166" s="16" t="str">
        <f>IF(Tabla13[[#This Row],[Meta 26 antes DPV]]=0,"",(Tabla13[[#This Row],[Meta 26 antes DPV]]-Tabla13[[#This Row],[Meta 26 Piso]])/Tabla13[[#This Row],[Meta 26 antes DPV]])</f>
        <v/>
      </c>
      <c r="H166" s="5"/>
      <c r="I166" s="8"/>
      <c r="J166" s="8"/>
      <c r="K166" s="9">
        <f>IFERROR($H166*I166,"")</f>
        <v>0</v>
      </c>
      <c r="L166" s="9">
        <f>IFERROR($H166*J166,"")</f>
        <v>0</v>
      </c>
      <c r="M166" s="9"/>
      <c r="N166" s="9"/>
      <c r="O166" s="9" t="str">
        <f>+IF(Tabla13[[#This Row],[Meta 26 Piso]]="","",Tabla13[[#This Row],[Meta 26 Piso]]*0.75)</f>
        <v/>
      </c>
    </row>
    <row r="167" spans="1:15" x14ac:dyDescent="0.25">
      <c r="A167" t="s">
        <v>127</v>
      </c>
      <c r="C167" t="s">
        <v>31</v>
      </c>
      <c r="G167" s="16" t="str">
        <f>IF(Tabla13[[#This Row],[Meta 26 antes DPV]]=0,"",(Tabla13[[#This Row],[Meta 26 antes DPV]]-Tabla13[[#This Row],[Meta 26 Piso]])/Tabla13[[#This Row],[Meta 26 antes DPV]])</f>
        <v/>
      </c>
      <c r="H167" s="5"/>
      <c r="I167" s="8"/>
      <c r="J167" s="8"/>
      <c r="K167" s="9">
        <f>IFERROR($H167*I167,"")</f>
        <v>0</v>
      </c>
      <c r="L167" s="9">
        <f>IFERROR($H167*J167,"")</f>
        <v>0</v>
      </c>
      <c r="M167" s="9"/>
      <c r="N167" s="9"/>
      <c r="O167" s="9" t="str">
        <f>+IF(Tabla13[[#This Row],[Meta 26 Piso]]="","",Tabla13[[#This Row],[Meta 26 Piso]]*0.75)</f>
        <v/>
      </c>
    </row>
    <row r="168" spans="1:15" x14ac:dyDescent="0.25">
      <c r="A168" t="s">
        <v>128</v>
      </c>
      <c r="C168" t="s">
        <v>31</v>
      </c>
      <c r="G168" s="16" t="str">
        <f>IF(Tabla13[[#This Row],[Meta 26 antes DPV]]=0,"",(Tabla13[[#This Row],[Meta 26 antes DPV]]-Tabla13[[#This Row],[Meta 26 Piso]])/Tabla13[[#This Row],[Meta 26 antes DPV]])</f>
        <v/>
      </c>
      <c r="H168" s="5"/>
      <c r="I168" s="8"/>
      <c r="J168" s="8"/>
      <c r="K168" s="9">
        <f>IFERROR($H168*I168,"")</f>
        <v>0</v>
      </c>
      <c r="L168" s="9">
        <f>IFERROR($H168*J168,"")</f>
        <v>0</v>
      </c>
      <c r="M168" s="9"/>
      <c r="N168" s="9"/>
      <c r="O168" s="9" t="str">
        <f>+IF(Tabla13[[#This Row],[Meta 26 Piso]]="","",Tabla13[[#This Row],[Meta 26 Piso]]*0.75)</f>
        <v/>
      </c>
    </row>
    <row r="169" spans="1:15" x14ac:dyDescent="0.25">
      <c r="A169" t="s">
        <v>114</v>
      </c>
      <c r="G169" s="16" t="str">
        <f>IF(Tabla13[[#This Row],[Meta 26 antes DPV]]=0,"",(Tabla13[[#This Row],[Meta 26 antes DPV]]-Tabla13[[#This Row],[Meta 26 Piso]])/Tabla13[[#This Row],[Meta 26 antes DPV]])</f>
        <v/>
      </c>
      <c r="H169" s="5"/>
      <c r="I169" s="8"/>
      <c r="J169" s="8"/>
      <c r="K169" s="9">
        <f t="shared" ref="K169:K171" si="5">IFERROR($H169*I169,"")</f>
        <v>0</v>
      </c>
      <c r="L169" s="9">
        <f t="shared" ref="L169:L171" si="6">IFERROR($H169*J169,"")</f>
        <v>0</v>
      </c>
      <c r="M169" s="9" t="e">
        <f>+Tabla13[[#This Row],[Avance meta general]]*$Q$2</f>
        <v>#VALUE!</v>
      </c>
      <c r="N169" s="9" t="e">
        <f>+Tabla13[[#This Row],[Avance meta general]]*$R$2</f>
        <v>#VALUE!</v>
      </c>
      <c r="O169" s="9" t="str">
        <f>+IF(Tabla13[[#This Row],[Meta 26 Piso]]="","",Tabla13[[#This Row],[Meta 26 Piso]]*0.75)</f>
        <v/>
      </c>
    </row>
    <row r="170" spans="1:15" x14ac:dyDescent="0.25">
      <c r="A170" t="s">
        <v>115</v>
      </c>
      <c r="G170" s="16" t="str">
        <f>IF(Tabla13[[#This Row],[Meta 26 antes DPV]]=0,"",(Tabla13[[#This Row],[Meta 26 antes DPV]]-Tabla13[[#This Row],[Meta 26 Piso]])/Tabla13[[#This Row],[Meta 26 antes DPV]])</f>
        <v/>
      </c>
      <c r="H170" s="5"/>
      <c r="I170" s="8"/>
      <c r="J170" s="8"/>
      <c r="K170" s="9">
        <f t="shared" si="5"/>
        <v>0</v>
      </c>
      <c r="L170" s="9">
        <f t="shared" si="6"/>
        <v>0</v>
      </c>
      <c r="M170" s="9" t="e">
        <f>+Tabla13[[#This Row],[Avance meta general]]*$Q$2</f>
        <v>#VALUE!</v>
      </c>
      <c r="N170" s="9" t="e">
        <f>+Tabla13[[#This Row],[Avance meta general]]*$R$2</f>
        <v>#VALUE!</v>
      </c>
      <c r="O170" s="9" t="str">
        <f>+IF(Tabla13[[#This Row],[Meta 26 Piso]]="","",Tabla13[[#This Row],[Meta 26 Piso]]*0.75)</f>
        <v/>
      </c>
    </row>
    <row r="171" spans="1:15" x14ac:dyDescent="0.25">
      <c r="A171" t="s">
        <v>112</v>
      </c>
      <c r="G171" s="16" t="str">
        <f>IF(Tabla13[[#This Row],[Meta 26 antes DPV]]=0,"",(Tabla13[[#This Row],[Meta 26 antes DPV]]-Tabla13[[#This Row],[Meta 26 Piso]])/Tabla13[[#This Row],[Meta 26 antes DPV]])</f>
        <v/>
      </c>
      <c r="H171" s="5"/>
      <c r="I171" s="8"/>
      <c r="J171" s="8"/>
      <c r="K171" s="9">
        <f t="shared" si="5"/>
        <v>0</v>
      </c>
      <c r="L171" s="9">
        <f t="shared" si="6"/>
        <v>0</v>
      </c>
      <c r="M171" s="9" t="e">
        <f>+Tabla13[[#This Row],[Avance meta general]]*$Q$2</f>
        <v>#VALUE!</v>
      </c>
      <c r="N171" s="9" t="e">
        <f>+Tabla13[[#This Row],[Avance meta general]]*$R$2</f>
        <v>#VALUE!</v>
      </c>
      <c r="O171" s="9" t="str">
        <f>+IF(Tabla13[[#This Row],[Meta 26 Piso]]="","",Tabla13[[#This Row],[Meta 26 Piso]]*0.75)</f>
        <v/>
      </c>
    </row>
    <row r="1048437" spans="6:6" x14ac:dyDescent="0.25">
      <c r="F1048437" s="2"/>
    </row>
  </sheetData>
  <pageMargins left="0.7" right="0.7" top="0.75" bottom="0.75" header="0.3" footer="0.3"/>
  <pageSetup paperSize="9" orientation="portrait" horizontalDpi="4294967292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4D07D-EAE9-49E2-B55A-16A4EA8D3BF1}">
  <dimension ref="A1:E15"/>
  <sheetViews>
    <sheetView showGridLines="0" tabSelected="1" workbookViewId="0">
      <selection activeCell="E2" sqref="E2:E15"/>
    </sheetView>
  </sheetViews>
  <sheetFormatPr baseColWidth="10" defaultRowHeight="14.25" x14ac:dyDescent="0.25"/>
  <cols>
    <col min="3" max="3" width="19.85546875" customWidth="1"/>
  </cols>
  <sheetData>
    <row r="1" spans="1:5" x14ac:dyDescent="0.25">
      <c r="A1" s="17" t="s">
        <v>0</v>
      </c>
      <c r="B1" s="17" t="s">
        <v>2</v>
      </c>
      <c r="C1" s="17" t="s">
        <v>130</v>
      </c>
      <c r="D1" s="17" t="s">
        <v>108</v>
      </c>
      <c r="E1" s="17" t="s">
        <v>110</v>
      </c>
    </row>
    <row r="2" spans="1:5" x14ac:dyDescent="0.25">
      <c r="A2" s="11" t="s">
        <v>124</v>
      </c>
      <c r="B2" s="11" t="s">
        <v>15</v>
      </c>
      <c r="C2" s="11">
        <v>551</v>
      </c>
      <c r="D2" s="18">
        <v>0</v>
      </c>
      <c r="E2" s="19">
        <f>+Tabla3[[#This Row],[Avance]]/Tabla3[[#This Row],[Meta Reinscripción]]</f>
        <v>0</v>
      </c>
    </row>
    <row r="3" spans="1:5" x14ac:dyDescent="0.25">
      <c r="A3" s="11" t="s">
        <v>125</v>
      </c>
      <c r="B3" s="11" t="s">
        <v>15</v>
      </c>
      <c r="C3" s="11">
        <v>688</v>
      </c>
      <c r="D3" s="11">
        <v>0</v>
      </c>
      <c r="E3" s="19">
        <f>+Tabla3[[#This Row],[Avance]]/Tabla3[[#This Row],[Meta Reinscripción]]</f>
        <v>0</v>
      </c>
    </row>
    <row r="4" spans="1:5" x14ac:dyDescent="0.25">
      <c r="A4" s="11" t="s">
        <v>126</v>
      </c>
      <c r="B4" s="11" t="s">
        <v>15</v>
      </c>
      <c r="C4" s="11">
        <v>1168</v>
      </c>
      <c r="D4" s="11">
        <v>0</v>
      </c>
      <c r="E4" s="19">
        <f>+Tabla3[[#This Row],[Avance]]/Tabla3[[#This Row],[Meta Reinscripción]]</f>
        <v>0</v>
      </c>
    </row>
    <row r="5" spans="1:5" x14ac:dyDescent="0.25">
      <c r="A5" s="11" t="s">
        <v>127</v>
      </c>
      <c r="B5" s="11" t="s">
        <v>15</v>
      </c>
      <c r="C5" s="11">
        <v>627</v>
      </c>
      <c r="D5" s="11">
        <v>0</v>
      </c>
      <c r="E5" s="19">
        <f>+Tabla3[[#This Row],[Avance]]/Tabla3[[#This Row],[Meta Reinscripción]]</f>
        <v>0</v>
      </c>
    </row>
    <row r="6" spans="1:5" x14ac:dyDescent="0.25">
      <c r="A6" s="11" t="s">
        <v>128</v>
      </c>
      <c r="B6" s="11" t="s">
        <v>15</v>
      </c>
      <c r="C6" s="11">
        <v>918</v>
      </c>
      <c r="D6" s="11">
        <v>0</v>
      </c>
      <c r="E6" s="19">
        <f>+Tabla3[[#This Row],[Avance]]/Tabla3[[#This Row],[Meta Reinscripción]]</f>
        <v>0</v>
      </c>
    </row>
    <row r="7" spans="1:5" x14ac:dyDescent="0.25">
      <c r="A7" s="11" t="s">
        <v>100</v>
      </c>
      <c r="B7" s="11" t="s">
        <v>15</v>
      </c>
      <c r="C7" s="11">
        <v>619</v>
      </c>
      <c r="D7" s="11">
        <v>0</v>
      </c>
      <c r="E7" s="19">
        <f>+Tabla3[[#This Row],[Avance]]/Tabla3[[#This Row],[Meta Reinscripción]]</f>
        <v>0</v>
      </c>
    </row>
    <row r="8" spans="1:5" x14ac:dyDescent="0.25">
      <c r="A8" s="11" t="s">
        <v>124</v>
      </c>
      <c r="B8" s="11" t="s">
        <v>31</v>
      </c>
      <c r="C8" s="11">
        <v>76</v>
      </c>
      <c r="D8" s="11">
        <v>0</v>
      </c>
      <c r="E8" s="19">
        <f>+Tabla3[[#This Row],[Avance]]/Tabla3[[#This Row],[Meta Reinscripción]]</f>
        <v>0</v>
      </c>
    </row>
    <row r="9" spans="1:5" x14ac:dyDescent="0.25">
      <c r="A9" s="11" t="s">
        <v>125</v>
      </c>
      <c r="B9" s="11" t="s">
        <v>31</v>
      </c>
      <c r="C9" s="11">
        <v>24</v>
      </c>
      <c r="D9" s="11">
        <v>0</v>
      </c>
      <c r="E9" s="19">
        <f>+Tabla3[[#This Row],[Avance]]/Tabla3[[#This Row],[Meta Reinscripción]]</f>
        <v>0</v>
      </c>
    </row>
    <row r="10" spans="1:5" x14ac:dyDescent="0.25">
      <c r="A10" s="11" t="s">
        <v>126</v>
      </c>
      <c r="B10" s="11" t="s">
        <v>31</v>
      </c>
      <c r="C10" s="11">
        <v>108</v>
      </c>
      <c r="D10" s="11">
        <v>0</v>
      </c>
      <c r="E10" s="19">
        <f>+Tabla3[[#This Row],[Avance]]/Tabla3[[#This Row],[Meta Reinscripción]]</f>
        <v>0</v>
      </c>
    </row>
    <row r="11" spans="1:5" x14ac:dyDescent="0.25">
      <c r="A11" s="11" t="s">
        <v>127</v>
      </c>
      <c r="B11" s="11" t="s">
        <v>31</v>
      </c>
      <c r="C11" s="11">
        <v>31</v>
      </c>
      <c r="D11" s="11">
        <v>0</v>
      </c>
      <c r="E11" s="19">
        <f>+Tabla3[[#This Row],[Avance]]/Tabla3[[#This Row],[Meta Reinscripción]]</f>
        <v>0</v>
      </c>
    </row>
    <row r="12" spans="1:5" x14ac:dyDescent="0.25">
      <c r="A12" s="11" t="s">
        <v>128</v>
      </c>
      <c r="B12" s="11" t="s">
        <v>31</v>
      </c>
      <c r="C12" s="11">
        <v>42</v>
      </c>
      <c r="D12" s="11">
        <v>0</v>
      </c>
      <c r="E12" s="19">
        <f>+Tabla3[[#This Row],[Avance]]/Tabla3[[#This Row],[Meta Reinscripción]]</f>
        <v>0</v>
      </c>
    </row>
    <row r="13" spans="1:5" x14ac:dyDescent="0.25">
      <c r="A13" s="11" t="s">
        <v>114</v>
      </c>
      <c r="B13" s="11" t="s">
        <v>129</v>
      </c>
      <c r="C13" s="11">
        <v>130</v>
      </c>
      <c r="D13" s="11">
        <v>25</v>
      </c>
      <c r="E13" s="19">
        <f>+Tabla3[[#This Row],[Avance]]/Tabla3[[#This Row],[Meta Reinscripción]]</f>
        <v>0.19230769230769232</v>
      </c>
    </row>
    <row r="14" spans="1:5" x14ac:dyDescent="0.25">
      <c r="A14" s="11" t="s">
        <v>115</v>
      </c>
      <c r="B14" s="11" t="s">
        <v>129</v>
      </c>
      <c r="C14" s="11">
        <v>677</v>
      </c>
      <c r="D14" s="11">
        <v>100</v>
      </c>
      <c r="E14" s="19">
        <f>+Tabla3[[#This Row],[Avance]]/Tabla3[[#This Row],[Meta Reinscripción]]</f>
        <v>0.14771048744460857</v>
      </c>
    </row>
    <row r="15" spans="1:5" x14ac:dyDescent="0.25">
      <c r="A15" s="12" t="s">
        <v>112</v>
      </c>
      <c r="B15" s="11" t="s">
        <v>129</v>
      </c>
      <c r="C15" s="12">
        <v>244</v>
      </c>
      <c r="D15" s="11">
        <v>65</v>
      </c>
      <c r="E15" s="19">
        <f>+Tabla3[[#This Row],[Avance]]/Tabla3[[#This Row],[Meta Reinscripción]]</f>
        <v>0.26639344262295084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650E6-98CC-4220-9532-0761D7BC930A}">
  <dimension ref="A1:G199"/>
  <sheetViews>
    <sheetView showGridLines="0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B4" sqref="B4"/>
    </sheetView>
  </sheetViews>
  <sheetFormatPr baseColWidth="10" defaultRowHeight="15" x14ac:dyDescent="0.25"/>
  <cols>
    <col min="1" max="5" width="11.42578125" style="14"/>
    <col min="6" max="6" width="12.42578125" style="14" customWidth="1"/>
    <col min="7" max="7" width="11.5703125" style="14" customWidth="1"/>
    <col min="8" max="8" width="5.140625" style="14" customWidth="1"/>
    <col min="9" max="16384" width="11.42578125" style="14"/>
  </cols>
  <sheetData>
    <row r="1" spans="1:7" x14ac:dyDescent="0.25">
      <c r="A1" s="13" t="s">
        <v>0</v>
      </c>
      <c r="B1" s="13" t="s">
        <v>2</v>
      </c>
      <c r="C1" s="13" t="s">
        <v>106</v>
      </c>
      <c r="D1" s="13" t="s">
        <v>107</v>
      </c>
      <c r="E1" s="13" t="s">
        <v>108</v>
      </c>
      <c r="F1" s="13" t="s">
        <v>109</v>
      </c>
      <c r="G1" s="13" t="s">
        <v>110</v>
      </c>
    </row>
    <row r="2" spans="1:7" x14ac:dyDescent="0.25">
      <c r="A2" s="14" t="s">
        <v>38</v>
      </c>
      <c r="B2" s="14" t="s">
        <v>15</v>
      </c>
      <c r="C2" s="14" t="s">
        <v>111</v>
      </c>
      <c r="D2" s="14">
        <v>434</v>
      </c>
      <c r="E2" s="14">
        <v>65</v>
      </c>
      <c r="F2" s="14">
        <f>+D2-E2</f>
        <v>369</v>
      </c>
      <c r="G2" s="15">
        <f t="shared" ref="G2:G65" si="0">IFERROR(E2/D2,"")</f>
        <v>0.14976958525345621</v>
      </c>
    </row>
    <row r="3" spans="1:7" x14ac:dyDescent="0.25">
      <c r="A3" s="14" t="s">
        <v>38</v>
      </c>
      <c r="B3" s="14" t="s">
        <v>31</v>
      </c>
      <c r="C3" s="14" t="s">
        <v>111</v>
      </c>
      <c r="D3" s="14">
        <v>89</v>
      </c>
      <c r="E3" s="14">
        <v>10</v>
      </c>
      <c r="F3" s="14">
        <f t="shared" ref="F3:F23" si="1">+D3-E3</f>
        <v>79</v>
      </c>
      <c r="G3" s="15">
        <f t="shared" si="0"/>
        <v>0.11235955056179775</v>
      </c>
    </row>
    <row r="4" spans="1:7" x14ac:dyDescent="0.25">
      <c r="A4" s="14" t="s">
        <v>13</v>
      </c>
      <c r="B4" s="14" t="s">
        <v>15</v>
      </c>
      <c r="C4" s="14" t="s">
        <v>111</v>
      </c>
      <c r="D4" s="14">
        <v>454</v>
      </c>
      <c r="E4" s="14">
        <v>64</v>
      </c>
      <c r="F4" s="14">
        <f t="shared" si="1"/>
        <v>390</v>
      </c>
      <c r="G4" s="15">
        <f t="shared" si="0"/>
        <v>0.14096916299559473</v>
      </c>
    </row>
    <row r="5" spans="1:7" x14ac:dyDescent="0.25">
      <c r="A5" s="14" t="s">
        <v>13</v>
      </c>
      <c r="B5" s="14" t="s">
        <v>31</v>
      </c>
      <c r="C5" s="14" t="s">
        <v>111</v>
      </c>
      <c r="D5" s="14">
        <v>63</v>
      </c>
      <c r="E5" s="14">
        <v>2</v>
      </c>
      <c r="F5" s="14">
        <f t="shared" si="1"/>
        <v>61</v>
      </c>
      <c r="G5" s="15">
        <f t="shared" si="0"/>
        <v>3.1746031746031744E-2</v>
      </c>
    </row>
    <row r="6" spans="1:7" x14ac:dyDescent="0.25">
      <c r="A6" s="14" t="s">
        <v>76</v>
      </c>
      <c r="B6" s="14" t="s">
        <v>15</v>
      </c>
      <c r="C6" s="14" t="s">
        <v>111</v>
      </c>
      <c r="D6" s="14">
        <v>400</v>
      </c>
      <c r="E6" s="14">
        <v>33</v>
      </c>
      <c r="F6" s="14">
        <f t="shared" si="1"/>
        <v>367</v>
      </c>
      <c r="G6" s="15">
        <f t="shared" si="0"/>
        <v>8.2500000000000004E-2</v>
      </c>
    </row>
    <row r="7" spans="1:7" x14ac:dyDescent="0.25">
      <c r="A7" s="14" t="s">
        <v>76</v>
      </c>
      <c r="B7" s="14" t="s">
        <v>31</v>
      </c>
      <c r="C7" s="14" t="s">
        <v>111</v>
      </c>
      <c r="D7" s="14">
        <v>100</v>
      </c>
      <c r="E7" s="14">
        <v>8</v>
      </c>
      <c r="F7" s="14">
        <f t="shared" si="1"/>
        <v>92</v>
      </c>
      <c r="G7" s="15">
        <f t="shared" si="0"/>
        <v>0.08</v>
      </c>
    </row>
    <row r="8" spans="1:7" x14ac:dyDescent="0.25">
      <c r="A8" s="14" t="s">
        <v>83</v>
      </c>
      <c r="B8" s="14" t="s">
        <v>15</v>
      </c>
      <c r="C8" s="14" t="s">
        <v>111</v>
      </c>
      <c r="D8" s="14">
        <v>686</v>
      </c>
      <c r="E8" s="14">
        <v>42</v>
      </c>
      <c r="F8" s="14">
        <f t="shared" si="1"/>
        <v>644</v>
      </c>
      <c r="G8" s="15">
        <f t="shared" si="0"/>
        <v>6.1224489795918366E-2</v>
      </c>
    </row>
    <row r="9" spans="1:7" x14ac:dyDescent="0.25">
      <c r="A9" s="14" t="s">
        <v>83</v>
      </c>
      <c r="B9" s="14" t="s">
        <v>31</v>
      </c>
      <c r="C9" s="14" t="s">
        <v>111</v>
      </c>
      <c r="D9" s="14">
        <v>150</v>
      </c>
      <c r="E9" s="14">
        <v>9</v>
      </c>
      <c r="F9" s="14">
        <f t="shared" si="1"/>
        <v>141</v>
      </c>
      <c r="G9" s="15">
        <f t="shared" si="0"/>
        <v>0.06</v>
      </c>
    </row>
    <row r="10" spans="1:7" x14ac:dyDescent="0.25">
      <c r="A10" s="14" t="s">
        <v>56</v>
      </c>
      <c r="B10" s="14" t="s">
        <v>15</v>
      </c>
      <c r="C10" s="14" t="s">
        <v>111</v>
      </c>
      <c r="D10" s="14">
        <v>630</v>
      </c>
      <c r="E10" s="14">
        <v>67</v>
      </c>
      <c r="F10" s="14">
        <f t="shared" si="1"/>
        <v>563</v>
      </c>
      <c r="G10" s="15">
        <f t="shared" si="0"/>
        <v>0.10634920634920635</v>
      </c>
    </row>
    <row r="11" spans="1:7" x14ac:dyDescent="0.25">
      <c r="A11" s="14" t="s">
        <v>56</v>
      </c>
      <c r="B11" s="14" t="s">
        <v>31</v>
      </c>
      <c r="C11" s="14" t="s">
        <v>111</v>
      </c>
      <c r="D11" s="14">
        <v>160</v>
      </c>
      <c r="E11" s="14">
        <v>27</v>
      </c>
      <c r="F11" s="14">
        <f t="shared" si="1"/>
        <v>133</v>
      </c>
      <c r="G11" s="15">
        <f t="shared" si="0"/>
        <v>0.16875000000000001</v>
      </c>
    </row>
    <row r="12" spans="1:7" x14ac:dyDescent="0.25">
      <c r="A12" s="14" t="s">
        <v>100</v>
      </c>
      <c r="B12" s="14" t="s">
        <v>15</v>
      </c>
      <c r="C12" s="14" t="s">
        <v>111</v>
      </c>
      <c r="D12" s="14">
        <v>586</v>
      </c>
      <c r="E12" s="14">
        <v>6</v>
      </c>
      <c r="F12" s="14">
        <f t="shared" si="1"/>
        <v>580</v>
      </c>
      <c r="G12" s="15">
        <f t="shared" si="0"/>
        <v>1.0238907849829351E-2</v>
      </c>
    </row>
    <row r="13" spans="1:7" x14ac:dyDescent="0.25">
      <c r="A13" s="14" t="s">
        <v>112</v>
      </c>
      <c r="B13" s="14" t="s">
        <v>94</v>
      </c>
      <c r="C13" s="14" t="s">
        <v>111</v>
      </c>
      <c r="D13" s="14">
        <v>30</v>
      </c>
      <c r="E13" s="14">
        <v>12</v>
      </c>
      <c r="F13" s="14">
        <f t="shared" si="1"/>
        <v>18</v>
      </c>
      <c r="G13" s="15">
        <f t="shared" si="0"/>
        <v>0.4</v>
      </c>
    </row>
    <row r="14" spans="1:7" x14ac:dyDescent="0.25">
      <c r="A14" s="14" t="s">
        <v>112</v>
      </c>
      <c r="B14" s="14" t="s">
        <v>95</v>
      </c>
      <c r="C14" s="14" t="s">
        <v>111</v>
      </c>
      <c r="D14" s="14">
        <v>80</v>
      </c>
      <c r="E14" s="14">
        <v>9</v>
      </c>
      <c r="F14" s="14">
        <f t="shared" si="1"/>
        <v>71</v>
      </c>
      <c r="G14" s="15">
        <f t="shared" si="0"/>
        <v>0.1125</v>
      </c>
    </row>
    <row r="15" spans="1:7" x14ac:dyDescent="0.25">
      <c r="A15" s="14" t="s">
        <v>112</v>
      </c>
      <c r="B15" s="14" t="s">
        <v>96</v>
      </c>
      <c r="C15" s="14" t="s">
        <v>111</v>
      </c>
      <c r="D15" s="14">
        <v>37</v>
      </c>
      <c r="E15" s="14">
        <v>11</v>
      </c>
      <c r="F15" s="14">
        <f t="shared" si="1"/>
        <v>26</v>
      </c>
      <c r="G15" s="15">
        <f t="shared" si="0"/>
        <v>0.29729729729729731</v>
      </c>
    </row>
    <row r="16" spans="1:7" x14ac:dyDescent="0.25">
      <c r="A16" s="14" t="s">
        <v>112</v>
      </c>
      <c r="B16" s="14" t="s">
        <v>113</v>
      </c>
      <c r="C16" s="14" t="s">
        <v>111</v>
      </c>
      <c r="D16" s="14">
        <v>41</v>
      </c>
      <c r="E16" s="14">
        <v>5</v>
      </c>
      <c r="F16" s="14">
        <f t="shared" si="1"/>
        <v>36</v>
      </c>
      <c r="G16" s="15">
        <f t="shared" si="0"/>
        <v>0.12195121951219512</v>
      </c>
    </row>
    <row r="17" spans="1:7" x14ac:dyDescent="0.25">
      <c r="A17" s="14" t="s">
        <v>114</v>
      </c>
      <c r="B17" s="14" t="s">
        <v>95</v>
      </c>
      <c r="C17" s="14" t="s">
        <v>111</v>
      </c>
      <c r="D17" s="14">
        <v>63</v>
      </c>
      <c r="E17" s="14">
        <v>4</v>
      </c>
      <c r="F17" s="14">
        <f t="shared" si="1"/>
        <v>59</v>
      </c>
      <c r="G17" s="15">
        <f t="shared" si="0"/>
        <v>6.3492063492063489E-2</v>
      </c>
    </row>
    <row r="18" spans="1:7" x14ac:dyDescent="0.25">
      <c r="A18" s="14" t="s">
        <v>114</v>
      </c>
      <c r="B18" s="14" t="s">
        <v>96</v>
      </c>
      <c r="C18" s="14" t="s">
        <v>111</v>
      </c>
      <c r="D18" s="14">
        <v>54</v>
      </c>
      <c r="E18" s="14">
        <v>4</v>
      </c>
      <c r="F18" s="14">
        <f t="shared" si="1"/>
        <v>50</v>
      </c>
      <c r="G18" s="15">
        <f t="shared" si="0"/>
        <v>7.407407407407407E-2</v>
      </c>
    </row>
    <row r="19" spans="1:7" x14ac:dyDescent="0.25">
      <c r="A19" s="14" t="s">
        <v>114</v>
      </c>
      <c r="B19" s="14" t="s">
        <v>113</v>
      </c>
      <c r="C19" s="14" t="s">
        <v>111</v>
      </c>
      <c r="D19" s="14">
        <v>47</v>
      </c>
      <c r="E19" s="14">
        <v>0</v>
      </c>
      <c r="F19" s="14">
        <f t="shared" si="1"/>
        <v>47</v>
      </c>
      <c r="G19" s="15">
        <f t="shared" si="0"/>
        <v>0</v>
      </c>
    </row>
    <row r="20" spans="1:7" x14ac:dyDescent="0.25">
      <c r="A20" s="14" t="s">
        <v>115</v>
      </c>
      <c r="B20" s="14" t="s">
        <v>94</v>
      </c>
      <c r="C20" s="14" t="s">
        <v>111</v>
      </c>
      <c r="D20" s="14">
        <v>20</v>
      </c>
      <c r="E20" s="14">
        <v>8</v>
      </c>
      <c r="F20" s="14">
        <f t="shared" si="1"/>
        <v>12</v>
      </c>
      <c r="G20" s="15">
        <f t="shared" si="0"/>
        <v>0.4</v>
      </c>
    </row>
    <row r="21" spans="1:7" x14ac:dyDescent="0.25">
      <c r="A21" s="14" t="s">
        <v>115</v>
      </c>
      <c r="B21" s="14" t="s">
        <v>95</v>
      </c>
      <c r="C21" s="14" t="s">
        <v>111</v>
      </c>
      <c r="D21" s="14">
        <v>90</v>
      </c>
      <c r="E21" s="14">
        <v>15</v>
      </c>
      <c r="F21" s="14">
        <f t="shared" si="1"/>
        <v>75</v>
      </c>
      <c r="G21" s="15">
        <f t="shared" si="0"/>
        <v>0.16666666666666666</v>
      </c>
    </row>
    <row r="22" spans="1:7" x14ac:dyDescent="0.25">
      <c r="A22" s="14" t="s">
        <v>115</v>
      </c>
      <c r="B22" s="14" t="s">
        <v>96</v>
      </c>
      <c r="C22" s="14" t="s">
        <v>111</v>
      </c>
      <c r="D22" s="14">
        <v>80</v>
      </c>
      <c r="E22" s="14">
        <v>11</v>
      </c>
      <c r="F22" s="14">
        <f t="shared" si="1"/>
        <v>69</v>
      </c>
      <c r="G22" s="15">
        <f t="shared" si="0"/>
        <v>0.13750000000000001</v>
      </c>
    </row>
    <row r="23" spans="1:7" x14ac:dyDescent="0.25">
      <c r="A23" s="14" t="s">
        <v>115</v>
      </c>
      <c r="B23" s="14" t="s">
        <v>113</v>
      </c>
      <c r="C23" s="14" t="s">
        <v>111</v>
      </c>
      <c r="D23" s="14">
        <v>29</v>
      </c>
      <c r="E23" s="14">
        <v>3</v>
      </c>
      <c r="F23" s="14">
        <f t="shared" si="1"/>
        <v>26</v>
      </c>
      <c r="G23" s="15">
        <f t="shared" si="0"/>
        <v>0.10344827586206896</v>
      </c>
    </row>
    <row r="24" spans="1:7" x14ac:dyDescent="0.25">
      <c r="A24" s="14" t="s">
        <v>38</v>
      </c>
      <c r="B24" s="14" t="s">
        <v>15</v>
      </c>
      <c r="C24" s="14" t="s">
        <v>116</v>
      </c>
      <c r="D24" s="14">
        <v>434</v>
      </c>
      <c r="E24" s="14">
        <v>149</v>
      </c>
      <c r="F24" s="14">
        <f>+D24-E24</f>
        <v>285</v>
      </c>
      <c r="G24" s="15">
        <f t="shared" si="0"/>
        <v>0.34331797235023043</v>
      </c>
    </row>
    <row r="25" spans="1:7" x14ac:dyDescent="0.25">
      <c r="A25" s="14" t="s">
        <v>38</v>
      </c>
      <c r="B25" s="14" t="s">
        <v>31</v>
      </c>
      <c r="C25" s="14" t="s">
        <v>116</v>
      </c>
      <c r="D25" s="14">
        <v>89</v>
      </c>
      <c r="E25" s="14">
        <v>17</v>
      </c>
      <c r="F25" s="14">
        <f t="shared" ref="F25:F45" si="2">+D25-E25</f>
        <v>72</v>
      </c>
      <c r="G25" s="15">
        <f t="shared" si="0"/>
        <v>0.19101123595505617</v>
      </c>
    </row>
    <row r="26" spans="1:7" x14ac:dyDescent="0.25">
      <c r="A26" s="14" t="s">
        <v>13</v>
      </c>
      <c r="B26" s="14" t="s">
        <v>15</v>
      </c>
      <c r="C26" s="14" t="s">
        <v>116</v>
      </c>
      <c r="D26" s="14">
        <v>454</v>
      </c>
      <c r="E26" s="14">
        <v>99</v>
      </c>
      <c r="F26" s="14">
        <f t="shared" si="2"/>
        <v>355</v>
      </c>
      <c r="G26" s="15">
        <f t="shared" si="0"/>
        <v>0.21806167400881057</v>
      </c>
    </row>
    <row r="27" spans="1:7" x14ac:dyDescent="0.25">
      <c r="A27" s="14" t="s">
        <v>13</v>
      </c>
      <c r="B27" s="14" t="s">
        <v>31</v>
      </c>
      <c r="C27" s="14" t="s">
        <v>116</v>
      </c>
      <c r="D27" s="14">
        <v>63</v>
      </c>
      <c r="E27" s="14">
        <v>10</v>
      </c>
      <c r="F27" s="14">
        <f t="shared" si="2"/>
        <v>53</v>
      </c>
      <c r="G27" s="15">
        <f t="shared" si="0"/>
        <v>0.15873015873015872</v>
      </c>
    </row>
    <row r="28" spans="1:7" x14ac:dyDescent="0.25">
      <c r="A28" s="14" t="s">
        <v>76</v>
      </c>
      <c r="B28" s="14" t="s">
        <v>15</v>
      </c>
      <c r="C28" s="14" t="s">
        <v>116</v>
      </c>
      <c r="D28" s="14">
        <v>400</v>
      </c>
      <c r="E28" s="14">
        <v>83</v>
      </c>
      <c r="F28" s="14">
        <f t="shared" si="2"/>
        <v>317</v>
      </c>
      <c r="G28" s="15">
        <f t="shared" si="0"/>
        <v>0.20749999999999999</v>
      </c>
    </row>
    <row r="29" spans="1:7" x14ac:dyDescent="0.25">
      <c r="A29" s="14" t="s">
        <v>76</v>
      </c>
      <c r="B29" s="14" t="s">
        <v>31</v>
      </c>
      <c r="C29" s="14" t="s">
        <v>116</v>
      </c>
      <c r="D29" s="14">
        <v>100</v>
      </c>
      <c r="E29" s="14">
        <v>13</v>
      </c>
      <c r="F29" s="14">
        <f t="shared" si="2"/>
        <v>87</v>
      </c>
      <c r="G29" s="15">
        <f t="shared" si="0"/>
        <v>0.13</v>
      </c>
    </row>
    <row r="30" spans="1:7" x14ac:dyDescent="0.25">
      <c r="A30" s="14" t="s">
        <v>83</v>
      </c>
      <c r="B30" s="14" t="s">
        <v>15</v>
      </c>
      <c r="C30" s="14" t="s">
        <v>116</v>
      </c>
      <c r="D30" s="14">
        <v>686</v>
      </c>
      <c r="E30" s="14">
        <v>86</v>
      </c>
      <c r="F30" s="14">
        <f t="shared" si="2"/>
        <v>600</v>
      </c>
      <c r="G30" s="15">
        <f t="shared" si="0"/>
        <v>0.12536443148688048</v>
      </c>
    </row>
    <row r="31" spans="1:7" x14ac:dyDescent="0.25">
      <c r="A31" s="14" t="s">
        <v>83</v>
      </c>
      <c r="B31" s="14" t="s">
        <v>31</v>
      </c>
      <c r="C31" s="14" t="s">
        <v>116</v>
      </c>
      <c r="D31" s="14">
        <v>150</v>
      </c>
      <c r="E31" s="14">
        <v>13</v>
      </c>
      <c r="F31" s="14">
        <f t="shared" si="2"/>
        <v>137</v>
      </c>
      <c r="G31" s="15">
        <f t="shared" si="0"/>
        <v>8.666666666666667E-2</v>
      </c>
    </row>
    <row r="32" spans="1:7" x14ac:dyDescent="0.25">
      <c r="A32" s="14" t="s">
        <v>56</v>
      </c>
      <c r="B32" s="14" t="s">
        <v>15</v>
      </c>
      <c r="C32" s="14" t="s">
        <v>116</v>
      </c>
      <c r="D32" s="14">
        <v>630</v>
      </c>
      <c r="E32" s="14">
        <v>127</v>
      </c>
      <c r="F32" s="14">
        <f t="shared" si="2"/>
        <v>503</v>
      </c>
      <c r="G32" s="15">
        <f t="shared" si="0"/>
        <v>0.20158730158730159</v>
      </c>
    </row>
    <row r="33" spans="1:7" x14ac:dyDescent="0.25">
      <c r="A33" s="14" t="s">
        <v>56</v>
      </c>
      <c r="B33" s="14" t="s">
        <v>31</v>
      </c>
      <c r="C33" s="14" t="s">
        <v>116</v>
      </c>
      <c r="D33" s="14">
        <v>160</v>
      </c>
      <c r="E33" s="14">
        <v>41</v>
      </c>
      <c r="F33" s="14">
        <f t="shared" si="2"/>
        <v>119</v>
      </c>
      <c r="G33" s="15">
        <f t="shared" si="0"/>
        <v>0.25624999999999998</v>
      </c>
    </row>
    <row r="34" spans="1:7" x14ac:dyDescent="0.25">
      <c r="A34" s="14" t="s">
        <v>100</v>
      </c>
      <c r="B34" s="14" t="s">
        <v>15</v>
      </c>
      <c r="C34" s="14" t="s">
        <v>116</v>
      </c>
      <c r="D34" s="14">
        <v>586</v>
      </c>
      <c r="E34" s="14">
        <v>4</v>
      </c>
      <c r="F34" s="14">
        <f t="shared" si="2"/>
        <v>582</v>
      </c>
      <c r="G34" s="15">
        <f t="shared" si="0"/>
        <v>6.8259385665529011E-3</v>
      </c>
    </row>
    <row r="35" spans="1:7" x14ac:dyDescent="0.25">
      <c r="A35" s="14" t="s">
        <v>112</v>
      </c>
      <c r="B35" s="14" t="s">
        <v>94</v>
      </c>
      <c r="C35" s="14" t="s">
        <v>116</v>
      </c>
      <c r="D35" s="14">
        <v>30</v>
      </c>
      <c r="E35" s="14">
        <v>16</v>
      </c>
      <c r="F35" s="14">
        <f t="shared" si="2"/>
        <v>14</v>
      </c>
      <c r="G35" s="15">
        <f t="shared" si="0"/>
        <v>0.53333333333333333</v>
      </c>
    </row>
    <row r="36" spans="1:7" x14ac:dyDescent="0.25">
      <c r="A36" s="14" t="s">
        <v>112</v>
      </c>
      <c r="B36" s="14" t="s">
        <v>95</v>
      </c>
      <c r="C36" s="14" t="s">
        <v>116</v>
      </c>
      <c r="D36" s="14">
        <v>80</v>
      </c>
      <c r="E36" s="14">
        <v>11</v>
      </c>
      <c r="F36" s="14">
        <f t="shared" si="2"/>
        <v>69</v>
      </c>
      <c r="G36" s="15">
        <f t="shared" si="0"/>
        <v>0.13750000000000001</v>
      </c>
    </row>
    <row r="37" spans="1:7" x14ac:dyDescent="0.25">
      <c r="A37" s="14" t="s">
        <v>112</v>
      </c>
      <c r="B37" s="14" t="s">
        <v>96</v>
      </c>
      <c r="C37" s="14" t="s">
        <v>116</v>
      </c>
      <c r="D37" s="14">
        <v>37</v>
      </c>
      <c r="E37" s="14">
        <v>15</v>
      </c>
      <c r="F37" s="14">
        <f t="shared" si="2"/>
        <v>22</v>
      </c>
      <c r="G37" s="15">
        <f t="shared" si="0"/>
        <v>0.40540540540540543</v>
      </c>
    </row>
    <row r="38" spans="1:7" x14ac:dyDescent="0.25">
      <c r="A38" s="14" t="s">
        <v>112</v>
      </c>
      <c r="B38" s="14" t="s">
        <v>113</v>
      </c>
      <c r="C38" s="14" t="s">
        <v>116</v>
      </c>
      <c r="D38" s="14">
        <v>41</v>
      </c>
      <c r="E38" s="14">
        <v>7</v>
      </c>
      <c r="F38" s="14">
        <f t="shared" si="2"/>
        <v>34</v>
      </c>
      <c r="G38" s="15">
        <f t="shared" si="0"/>
        <v>0.17073170731707318</v>
      </c>
    </row>
    <row r="39" spans="1:7" x14ac:dyDescent="0.25">
      <c r="A39" s="14" t="s">
        <v>114</v>
      </c>
      <c r="B39" s="14" t="s">
        <v>95</v>
      </c>
      <c r="C39" s="14" t="s">
        <v>116</v>
      </c>
      <c r="D39" s="14">
        <v>63</v>
      </c>
      <c r="E39" s="14">
        <v>7</v>
      </c>
      <c r="F39" s="14">
        <f t="shared" si="2"/>
        <v>56</v>
      </c>
      <c r="G39" s="15">
        <f t="shared" si="0"/>
        <v>0.1111111111111111</v>
      </c>
    </row>
    <row r="40" spans="1:7" x14ac:dyDescent="0.25">
      <c r="A40" s="14" t="s">
        <v>114</v>
      </c>
      <c r="B40" s="14" t="s">
        <v>96</v>
      </c>
      <c r="C40" s="14" t="s">
        <v>116</v>
      </c>
      <c r="D40" s="14">
        <v>54</v>
      </c>
      <c r="E40" s="14">
        <v>6</v>
      </c>
      <c r="F40" s="14">
        <f t="shared" si="2"/>
        <v>48</v>
      </c>
      <c r="G40" s="15">
        <f t="shared" si="0"/>
        <v>0.1111111111111111</v>
      </c>
    </row>
    <row r="41" spans="1:7" x14ac:dyDescent="0.25">
      <c r="A41" s="14" t="s">
        <v>114</v>
      </c>
      <c r="B41" s="14" t="s">
        <v>113</v>
      </c>
      <c r="C41" s="14" t="s">
        <v>116</v>
      </c>
      <c r="D41" s="14">
        <v>47</v>
      </c>
      <c r="E41" s="14">
        <v>1</v>
      </c>
      <c r="F41" s="14">
        <f t="shared" si="2"/>
        <v>46</v>
      </c>
      <c r="G41" s="15">
        <f t="shared" si="0"/>
        <v>2.1276595744680851E-2</v>
      </c>
    </row>
    <row r="42" spans="1:7" x14ac:dyDescent="0.25">
      <c r="A42" s="14" t="s">
        <v>115</v>
      </c>
      <c r="B42" s="14" t="s">
        <v>94</v>
      </c>
      <c r="C42" s="14" t="s">
        <v>116</v>
      </c>
      <c r="D42" s="14">
        <v>20</v>
      </c>
      <c r="E42" s="14">
        <v>18</v>
      </c>
      <c r="F42" s="14">
        <f t="shared" si="2"/>
        <v>2</v>
      </c>
      <c r="G42" s="15">
        <f t="shared" si="0"/>
        <v>0.9</v>
      </c>
    </row>
    <row r="43" spans="1:7" x14ac:dyDescent="0.25">
      <c r="A43" s="14" t="s">
        <v>115</v>
      </c>
      <c r="B43" s="14" t="s">
        <v>95</v>
      </c>
      <c r="C43" s="14" t="s">
        <v>116</v>
      </c>
      <c r="D43" s="14">
        <v>90</v>
      </c>
      <c r="E43" s="14">
        <v>23</v>
      </c>
      <c r="F43" s="14">
        <f t="shared" si="2"/>
        <v>67</v>
      </c>
      <c r="G43" s="15">
        <f t="shared" si="0"/>
        <v>0.25555555555555554</v>
      </c>
    </row>
    <row r="44" spans="1:7" x14ac:dyDescent="0.25">
      <c r="A44" s="14" t="s">
        <v>115</v>
      </c>
      <c r="B44" s="14" t="s">
        <v>96</v>
      </c>
      <c r="C44" s="14" t="s">
        <v>116</v>
      </c>
      <c r="D44" s="14">
        <v>80</v>
      </c>
      <c r="E44" s="14">
        <v>16</v>
      </c>
      <c r="F44" s="14">
        <f t="shared" si="2"/>
        <v>64</v>
      </c>
      <c r="G44" s="15">
        <f t="shared" si="0"/>
        <v>0.2</v>
      </c>
    </row>
    <row r="45" spans="1:7" x14ac:dyDescent="0.25">
      <c r="A45" s="14" t="s">
        <v>115</v>
      </c>
      <c r="B45" s="14" t="s">
        <v>113</v>
      </c>
      <c r="C45" s="14" t="s">
        <v>116</v>
      </c>
      <c r="D45" s="14">
        <v>29</v>
      </c>
      <c r="E45" s="14">
        <v>6</v>
      </c>
      <c r="F45" s="14">
        <f t="shared" si="2"/>
        <v>23</v>
      </c>
      <c r="G45" s="15">
        <f t="shared" si="0"/>
        <v>0.20689655172413793</v>
      </c>
    </row>
    <row r="46" spans="1:7" x14ac:dyDescent="0.25">
      <c r="A46" s="14" t="s">
        <v>38</v>
      </c>
      <c r="B46" s="14" t="s">
        <v>15</v>
      </c>
      <c r="C46" s="14" t="s">
        <v>117</v>
      </c>
      <c r="D46" s="14">
        <v>434</v>
      </c>
      <c r="E46" s="14">
        <v>199</v>
      </c>
      <c r="F46" s="14">
        <f>+D46-E46</f>
        <v>235</v>
      </c>
      <c r="G46" s="15">
        <f t="shared" si="0"/>
        <v>0.45852534562211983</v>
      </c>
    </row>
    <row r="47" spans="1:7" x14ac:dyDescent="0.25">
      <c r="A47" s="14" t="s">
        <v>38</v>
      </c>
      <c r="B47" s="14" t="s">
        <v>31</v>
      </c>
      <c r="C47" s="14" t="s">
        <v>117</v>
      </c>
      <c r="D47" s="14">
        <v>89</v>
      </c>
      <c r="E47" s="14">
        <v>24</v>
      </c>
      <c r="F47" s="14">
        <f t="shared" ref="F47:F67" si="3">+D47-E47</f>
        <v>65</v>
      </c>
      <c r="G47" s="15">
        <f t="shared" si="0"/>
        <v>0.2696629213483146</v>
      </c>
    </row>
    <row r="48" spans="1:7" x14ac:dyDescent="0.25">
      <c r="A48" s="14" t="s">
        <v>13</v>
      </c>
      <c r="B48" s="14" t="s">
        <v>15</v>
      </c>
      <c r="C48" s="14" t="s">
        <v>117</v>
      </c>
      <c r="D48" s="14">
        <v>454</v>
      </c>
      <c r="E48" s="14">
        <v>143</v>
      </c>
      <c r="F48" s="14">
        <f t="shared" si="3"/>
        <v>311</v>
      </c>
      <c r="G48" s="15">
        <f t="shared" si="0"/>
        <v>0.31497797356828194</v>
      </c>
    </row>
    <row r="49" spans="1:7" x14ac:dyDescent="0.25">
      <c r="A49" s="14" t="s">
        <v>13</v>
      </c>
      <c r="B49" s="14" t="s">
        <v>31</v>
      </c>
      <c r="C49" s="14" t="s">
        <v>117</v>
      </c>
      <c r="D49" s="14">
        <v>63</v>
      </c>
      <c r="E49" s="14">
        <v>16</v>
      </c>
      <c r="F49" s="14">
        <f t="shared" si="3"/>
        <v>47</v>
      </c>
      <c r="G49" s="15">
        <f t="shared" si="0"/>
        <v>0.25396825396825395</v>
      </c>
    </row>
    <row r="50" spans="1:7" x14ac:dyDescent="0.25">
      <c r="A50" s="14" t="s">
        <v>76</v>
      </c>
      <c r="B50" s="14" t="s">
        <v>15</v>
      </c>
      <c r="C50" s="14" t="s">
        <v>117</v>
      </c>
      <c r="D50" s="14">
        <v>400</v>
      </c>
      <c r="E50" s="14">
        <v>123</v>
      </c>
      <c r="F50" s="14">
        <f t="shared" si="3"/>
        <v>277</v>
      </c>
      <c r="G50" s="15">
        <f t="shared" si="0"/>
        <v>0.3075</v>
      </c>
    </row>
    <row r="51" spans="1:7" x14ac:dyDescent="0.25">
      <c r="A51" s="14" t="s">
        <v>76</v>
      </c>
      <c r="B51" s="14" t="s">
        <v>31</v>
      </c>
      <c r="C51" s="14" t="s">
        <v>117</v>
      </c>
      <c r="D51" s="14">
        <v>100</v>
      </c>
      <c r="E51" s="14">
        <v>17</v>
      </c>
      <c r="F51" s="14">
        <f t="shared" si="3"/>
        <v>83</v>
      </c>
      <c r="G51" s="15">
        <f t="shared" si="0"/>
        <v>0.17</v>
      </c>
    </row>
    <row r="52" spans="1:7" x14ac:dyDescent="0.25">
      <c r="A52" s="14" t="s">
        <v>83</v>
      </c>
      <c r="B52" s="14" t="s">
        <v>15</v>
      </c>
      <c r="C52" s="14" t="s">
        <v>117</v>
      </c>
      <c r="D52" s="14">
        <v>686</v>
      </c>
      <c r="E52" s="14">
        <v>118</v>
      </c>
      <c r="F52" s="14">
        <f t="shared" si="3"/>
        <v>568</v>
      </c>
      <c r="G52" s="15">
        <f t="shared" si="0"/>
        <v>0.17201166180758018</v>
      </c>
    </row>
    <row r="53" spans="1:7" x14ac:dyDescent="0.25">
      <c r="A53" s="14" t="s">
        <v>83</v>
      </c>
      <c r="B53" s="14" t="s">
        <v>31</v>
      </c>
      <c r="C53" s="14" t="s">
        <v>117</v>
      </c>
      <c r="D53" s="14">
        <v>150</v>
      </c>
      <c r="E53" s="14">
        <v>16</v>
      </c>
      <c r="F53" s="14">
        <f t="shared" si="3"/>
        <v>134</v>
      </c>
      <c r="G53" s="15">
        <f t="shared" si="0"/>
        <v>0.10666666666666667</v>
      </c>
    </row>
    <row r="54" spans="1:7" x14ac:dyDescent="0.25">
      <c r="A54" s="14" t="s">
        <v>56</v>
      </c>
      <c r="B54" s="14" t="s">
        <v>15</v>
      </c>
      <c r="C54" s="14" t="s">
        <v>117</v>
      </c>
      <c r="D54" s="14">
        <v>630</v>
      </c>
      <c r="E54" s="14">
        <v>186</v>
      </c>
      <c r="F54" s="14">
        <f t="shared" si="3"/>
        <v>444</v>
      </c>
      <c r="G54" s="15">
        <f t="shared" si="0"/>
        <v>0.29523809523809524</v>
      </c>
    </row>
    <row r="55" spans="1:7" x14ac:dyDescent="0.25">
      <c r="A55" s="14" t="s">
        <v>56</v>
      </c>
      <c r="B55" s="14" t="s">
        <v>31</v>
      </c>
      <c r="C55" s="14" t="s">
        <v>117</v>
      </c>
      <c r="D55" s="14">
        <v>160</v>
      </c>
      <c r="E55" s="14">
        <v>51</v>
      </c>
      <c r="F55" s="14">
        <f t="shared" si="3"/>
        <v>109</v>
      </c>
      <c r="G55" s="15">
        <f t="shared" si="0"/>
        <v>0.31874999999999998</v>
      </c>
    </row>
    <row r="56" spans="1:7" x14ac:dyDescent="0.25">
      <c r="A56" s="14" t="s">
        <v>100</v>
      </c>
      <c r="B56" s="14" t="s">
        <v>15</v>
      </c>
      <c r="C56" s="14" t="s">
        <v>117</v>
      </c>
      <c r="D56" s="14">
        <v>586</v>
      </c>
      <c r="E56" s="14">
        <v>17</v>
      </c>
      <c r="F56" s="14">
        <f t="shared" si="3"/>
        <v>569</v>
      </c>
      <c r="G56" s="15">
        <f t="shared" si="0"/>
        <v>2.9010238907849831E-2</v>
      </c>
    </row>
    <row r="57" spans="1:7" x14ac:dyDescent="0.25">
      <c r="A57" s="14" t="s">
        <v>112</v>
      </c>
      <c r="B57" s="14" t="s">
        <v>94</v>
      </c>
      <c r="C57" s="14" t="s">
        <v>117</v>
      </c>
      <c r="D57" s="14">
        <v>30</v>
      </c>
      <c r="E57" s="14">
        <v>16</v>
      </c>
      <c r="F57" s="14">
        <f t="shared" si="3"/>
        <v>14</v>
      </c>
      <c r="G57" s="15">
        <f t="shared" si="0"/>
        <v>0.53333333333333333</v>
      </c>
    </row>
    <row r="58" spans="1:7" x14ac:dyDescent="0.25">
      <c r="A58" s="14" t="s">
        <v>112</v>
      </c>
      <c r="B58" s="14" t="s">
        <v>95</v>
      </c>
      <c r="C58" s="14" t="s">
        <v>117</v>
      </c>
      <c r="D58" s="14">
        <v>80</v>
      </c>
      <c r="E58" s="14">
        <v>12</v>
      </c>
      <c r="F58" s="14">
        <f t="shared" si="3"/>
        <v>68</v>
      </c>
      <c r="G58" s="15">
        <f t="shared" si="0"/>
        <v>0.15</v>
      </c>
    </row>
    <row r="59" spans="1:7" x14ac:dyDescent="0.25">
      <c r="A59" s="14" t="s">
        <v>112</v>
      </c>
      <c r="B59" s="14" t="s">
        <v>96</v>
      </c>
      <c r="C59" s="14" t="s">
        <v>117</v>
      </c>
      <c r="D59" s="14">
        <v>37</v>
      </c>
      <c r="E59" s="14">
        <v>15</v>
      </c>
      <c r="F59" s="14">
        <f t="shared" si="3"/>
        <v>22</v>
      </c>
      <c r="G59" s="15">
        <f t="shared" si="0"/>
        <v>0.40540540540540543</v>
      </c>
    </row>
    <row r="60" spans="1:7" x14ac:dyDescent="0.25">
      <c r="A60" s="14" t="s">
        <v>112</v>
      </c>
      <c r="B60" s="14" t="s">
        <v>113</v>
      </c>
      <c r="C60" s="14" t="s">
        <v>117</v>
      </c>
      <c r="D60" s="14">
        <v>41</v>
      </c>
      <c r="E60" s="14">
        <v>9</v>
      </c>
      <c r="F60" s="14">
        <f t="shared" si="3"/>
        <v>32</v>
      </c>
      <c r="G60" s="15">
        <f t="shared" si="0"/>
        <v>0.21951219512195122</v>
      </c>
    </row>
    <row r="61" spans="1:7" x14ac:dyDescent="0.25">
      <c r="A61" s="14" t="s">
        <v>114</v>
      </c>
      <c r="B61" s="14" t="s">
        <v>95</v>
      </c>
      <c r="C61" s="14" t="s">
        <v>117</v>
      </c>
      <c r="D61" s="14">
        <v>63</v>
      </c>
      <c r="E61" s="14">
        <v>8</v>
      </c>
      <c r="F61" s="14">
        <f t="shared" si="3"/>
        <v>55</v>
      </c>
      <c r="G61" s="15">
        <f t="shared" si="0"/>
        <v>0.12698412698412698</v>
      </c>
    </row>
    <row r="62" spans="1:7" x14ac:dyDescent="0.25">
      <c r="A62" s="14" t="s">
        <v>114</v>
      </c>
      <c r="B62" s="14" t="s">
        <v>96</v>
      </c>
      <c r="C62" s="14" t="s">
        <v>117</v>
      </c>
      <c r="D62" s="14">
        <v>54</v>
      </c>
      <c r="E62" s="14">
        <v>7</v>
      </c>
      <c r="F62" s="14">
        <f t="shared" si="3"/>
        <v>47</v>
      </c>
      <c r="G62" s="15">
        <f t="shared" si="0"/>
        <v>0.12962962962962962</v>
      </c>
    </row>
    <row r="63" spans="1:7" x14ac:dyDescent="0.25">
      <c r="A63" s="14" t="s">
        <v>114</v>
      </c>
      <c r="B63" s="14" t="s">
        <v>113</v>
      </c>
      <c r="C63" s="14" t="s">
        <v>117</v>
      </c>
      <c r="D63" s="14">
        <v>47</v>
      </c>
      <c r="E63" s="14">
        <v>4</v>
      </c>
      <c r="F63" s="14">
        <f t="shared" si="3"/>
        <v>43</v>
      </c>
      <c r="G63" s="15">
        <f t="shared" si="0"/>
        <v>8.5106382978723402E-2</v>
      </c>
    </row>
    <row r="64" spans="1:7" x14ac:dyDescent="0.25">
      <c r="A64" s="14" t="s">
        <v>115</v>
      </c>
      <c r="B64" s="14" t="s">
        <v>94</v>
      </c>
      <c r="C64" s="14" t="s">
        <v>117</v>
      </c>
      <c r="D64" s="14">
        <v>20</v>
      </c>
      <c r="E64" s="14">
        <v>19</v>
      </c>
      <c r="F64" s="14">
        <f t="shared" si="3"/>
        <v>1</v>
      </c>
      <c r="G64" s="15">
        <f t="shared" si="0"/>
        <v>0.95</v>
      </c>
    </row>
    <row r="65" spans="1:7" x14ac:dyDescent="0.25">
      <c r="A65" s="14" t="s">
        <v>115</v>
      </c>
      <c r="B65" s="14" t="s">
        <v>95</v>
      </c>
      <c r="C65" s="14" t="s">
        <v>117</v>
      </c>
      <c r="D65" s="14">
        <v>90</v>
      </c>
      <c r="E65" s="14">
        <v>26</v>
      </c>
      <c r="F65" s="14">
        <f t="shared" si="3"/>
        <v>64</v>
      </c>
      <c r="G65" s="15">
        <f t="shared" si="0"/>
        <v>0.28888888888888886</v>
      </c>
    </row>
    <row r="66" spans="1:7" x14ac:dyDescent="0.25">
      <c r="A66" s="14" t="s">
        <v>115</v>
      </c>
      <c r="B66" s="14" t="s">
        <v>96</v>
      </c>
      <c r="C66" s="14" t="s">
        <v>117</v>
      </c>
      <c r="D66" s="14">
        <v>80</v>
      </c>
      <c r="E66" s="14">
        <v>21</v>
      </c>
      <c r="F66" s="14">
        <f t="shared" si="3"/>
        <v>59</v>
      </c>
      <c r="G66" s="15">
        <f t="shared" ref="G66:G129" si="4">IFERROR(E66/D66,"")</f>
        <v>0.26250000000000001</v>
      </c>
    </row>
    <row r="67" spans="1:7" x14ac:dyDescent="0.25">
      <c r="A67" s="14" t="s">
        <v>115</v>
      </c>
      <c r="B67" s="14" t="s">
        <v>113</v>
      </c>
      <c r="C67" s="14" t="s">
        <v>117</v>
      </c>
      <c r="D67" s="14">
        <v>29</v>
      </c>
      <c r="E67" s="14">
        <v>7</v>
      </c>
      <c r="F67" s="14">
        <f t="shared" si="3"/>
        <v>22</v>
      </c>
      <c r="G67" s="15">
        <f t="shared" si="4"/>
        <v>0.2413793103448276</v>
      </c>
    </row>
    <row r="68" spans="1:7" x14ac:dyDescent="0.25">
      <c r="A68" s="14" t="s">
        <v>38</v>
      </c>
      <c r="B68" s="14" t="s">
        <v>15</v>
      </c>
      <c r="C68" s="14" t="s">
        <v>118</v>
      </c>
      <c r="D68" s="14">
        <v>434</v>
      </c>
      <c r="E68" s="14">
        <v>272</v>
      </c>
      <c r="F68" s="14">
        <f>+D68-E68</f>
        <v>162</v>
      </c>
      <c r="G68" s="15">
        <f t="shared" si="4"/>
        <v>0.62672811059907829</v>
      </c>
    </row>
    <row r="69" spans="1:7" x14ac:dyDescent="0.25">
      <c r="A69" s="14" t="s">
        <v>38</v>
      </c>
      <c r="B69" s="14" t="s">
        <v>31</v>
      </c>
      <c r="C69" s="14" t="s">
        <v>118</v>
      </c>
      <c r="D69" s="14">
        <v>89</v>
      </c>
      <c r="E69" s="14">
        <v>28</v>
      </c>
      <c r="F69" s="14">
        <f t="shared" ref="F69:F89" si="5">+D69-E69</f>
        <v>61</v>
      </c>
      <c r="G69" s="15">
        <f t="shared" si="4"/>
        <v>0.3146067415730337</v>
      </c>
    </row>
    <row r="70" spans="1:7" x14ac:dyDescent="0.25">
      <c r="A70" s="14" t="s">
        <v>13</v>
      </c>
      <c r="B70" s="14" t="s">
        <v>15</v>
      </c>
      <c r="C70" s="14" t="s">
        <v>118</v>
      </c>
      <c r="D70" s="14">
        <v>454</v>
      </c>
      <c r="E70" s="14">
        <v>182</v>
      </c>
      <c r="F70" s="14">
        <f t="shared" si="5"/>
        <v>272</v>
      </c>
      <c r="G70" s="15">
        <f t="shared" si="4"/>
        <v>0.40088105726872247</v>
      </c>
    </row>
    <row r="71" spans="1:7" x14ac:dyDescent="0.25">
      <c r="A71" s="14" t="s">
        <v>13</v>
      </c>
      <c r="B71" s="14" t="s">
        <v>31</v>
      </c>
      <c r="C71" s="14" t="s">
        <v>118</v>
      </c>
      <c r="D71" s="14">
        <v>63</v>
      </c>
      <c r="E71" s="14">
        <v>22</v>
      </c>
      <c r="F71" s="14">
        <f t="shared" si="5"/>
        <v>41</v>
      </c>
      <c r="G71" s="15">
        <f t="shared" si="4"/>
        <v>0.34920634920634919</v>
      </c>
    </row>
    <row r="72" spans="1:7" x14ac:dyDescent="0.25">
      <c r="A72" s="14" t="s">
        <v>76</v>
      </c>
      <c r="B72" s="14" t="s">
        <v>15</v>
      </c>
      <c r="C72" s="14" t="s">
        <v>118</v>
      </c>
      <c r="D72" s="14">
        <v>400</v>
      </c>
      <c r="E72" s="14">
        <v>147</v>
      </c>
      <c r="F72" s="14">
        <f t="shared" si="5"/>
        <v>253</v>
      </c>
      <c r="G72" s="15">
        <f t="shared" si="4"/>
        <v>0.36749999999999999</v>
      </c>
    </row>
    <row r="73" spans="1:7" x14ac:dyDescent="0.25">
      <c r="A73" s="14" t="s">
        <v>76</v>
      </c>
      <c r="B73" s="14" t="s">
        <v>31</v>
      </c>
      <c r="C73" s="14" t="s">
        <v>118</v>
      </c>
      <c r="D73" s="14">
        <v>100</v>
      </c>
      <c r="E73" s="14">
        <v>37</v>
      </c>
      <c r="F73" s="14">
        <f t="shared" si="5"/>
        <v>63</v>
      </c>
      <c r="G73" s="15">
        <f t="shared" si="4"/>
        <v>0.37</v>
      </c>
    </row>
    <row r="74" spans="1:7" x14ac:dyDescent="0.25">
      <c r="A74" s="14" t="s">
        <v>83</v>
      </c>
      <c r="B74" s="14" t="s">
        <v>15</v>
      </c>
      <c r="C74" s="14" t="s">
        <v>118</v>
      </c>
      <c r="D74" s="14">
        <v>686</v>
      </c>
      <c r="E74" s="14">
        <v>199</v>
      </c>
      <c r="F74" s="14">
        <f t="shared" si="5"/>
        <v>487</v>
      </c>
      <c r="G74" s="15">
        <f t="shared" si="4"/>
        <v>0.29008746355685133</v>
      </c>
    </row>
    <row r="75" spans="1:7" x14ac:dyDescent="0.25">
      <c r="A75" s="14" t="s">
        <v>83</v>
      </c>
      <c r="B75" s="14" t="s">
        <v>31</v>
      </c>
      <c r="C75" s="14" t="s">
        <v>118</v>
      </c>
      <c r="D75" s="14">
        <v>150</v>
      </c>
      <c r="E75" s="14">
        <v>30</v>
      </c>
      <c r="F75" s="14">
        <f t="shared" si="5"/>
        <v>120</v>
      </c>
      <c r="G75" s="15">
        <f t="shared" si="4"/>
        <v>0.2</v>
      </c>
    </row>
    <row r="76" spans="1:7" x14ac:dyDescent="0.25">
      <c r="A76" s="14" t="s">
        <v>56</v>
      </c>
      <c r="B76" s="14" t="s">
        <v>15</v>
      </c>
      <c r="C76" s="14" t="s">
        <v>118</v>
      </c>
      <c r="D76" s="14">
        <v>630</v>
      </c>
      <c r="E76" s="14">
        <v>253</v>
      </c>
      <c r="F76" s="14">
        <f t="shared" si="5"/>
        <v>377</v>
      </c>
      <c r="G76" s="15">
        <f t="shared" si="4"/>
        <v>0.4015873015873016</v>
      </c>
    </row>
    <row r="77" spans="1:7" x14ac:dyDescent="0.25">
      <c r="A77" s="14" t="s">
        <v>56</v>
      </c>
      <c r="B77" s="14" t="s">
        <v>31</v>
      </c>
      <c r="C77" s="14" t="s">
        <v>118</v>
      </c>
      <c r="D77" s="14">
        <v>160</v>
      </c>
      <c r="E77" s="14">
        <v>69</v>
      </c>
      <c r="F77" s="14">
        <f t="shared" si="5"/>
        <v>91</v>
      </c>
      <c r="G77" s="15">
        <f t="shared" si="4"/>
        <v>0.43125000000000002</v>
      </c>
    </row>
    <row r="78" spans="1:7" x14ac:dyDescent="0.25">
      <c r="A78" s="14" t="s">
        <v>100</v>
      </c>
      <c r="B78" s="14" t="s">
        <v>15</v>
      </c>
      <c r="C78" s="14" t="s">
        <v>118</v>
      </c>
      <c r="D78" s="14">
        <v>586</v>
      </c>
      <c r="E78" s="14">
        <v>40</v>
      </c>
      <c r="F78" s="14">
        <f t="shared" si="5"/>
        <v>546</v>
      </c>
      <c r="G78" s="15">
        <f t="shared" si="4"/>
        <v>6.8259385665529013E-2</v>
      </c>
    </row>
    <row r="79" spans="1:7" x14ac:dyDescent="0.25">
      <c r="A79" s="14" t="s">
        <v>112</v>
      </c>
      <c r="B79" s="14" t="s">
        <v>94</v>
      </c>
      <c r="C79" s="14" t="s">
        <v>118</v>
      </c>
      <c r="D79" s="14">
        <v>30</v>
      </c>
      <c r="E79" s="14">
        <v>16</v>
      </c>
      <c r="F79" s="14">
        <f t="shared" si="5"/>
        <v>14</v>
      </c>
      <c r="G79" s="15">
        <f t="shared" si="4"/>
        <v>0.53333333333333333</v>
      </c>
    </row>
    <row r="80" spans="1:7" x14ac:dyDescent="0.25">
      <c r="A80" s="14" t="s">
        <v>112</v>
      </c>
      <c r="B80" s="14" t="s">
        <v>95</v>
      </c>
      <c r="C80" s="14" t="s">
        <v>118</v>
      </c>
      <c r="D80" s="14">
        <v>80</v>
      </c>
      <c r="E80" s="14">
        <v>11</v>
      </c>
      <c r="F80" s="14">
        <f t="shared" si="5"/>
        <v>69</v>
      </c>
      <c r="G80" s="15">
        <f t="shared" si="4"/>
        <v>0.13750000000000001</v>
      </c>
    </row>
    <row r="81" spans="1:7" x14ac:dyDescent="0.25">
      <c r="A81" s="14" t="s">
        <v>112</v>
      </c>
      <c r="B81" s="14" t="s">
        <v>96</v>
      </c>
      <c r="C81" s="14" t="s">
        <v>118</v>
      </c>
      <c r="D81" s="14">
        <v>37</v>
      </c>
      <c r="E81" s="14">
        <v>15</v>
      </c>
      <c r="F81" s="14">
        <f t="shared" si="5"/>
        <v>22</v>
      </c>
      <c r="G81" s="15">
        <f t="shared" si="4"/>
        <v>0.40540540540540543</v>
      </c>
    </row>
    <row r="82" spans="1:7" x14ac:dyDescent="0.25">
      <c r="A82" s="14" t="s">
        <v>112</v>
      </c>
      <c r="B82" s="14" t="s">
        <v>113</v>
      </c>
      <c r="C82" s="14" t="s">
        <v>118</v>
      </c>
      <c r="D82" s="14">
        <v>41</v>
      </c>
      <c r="E82" s="14">
        <v>9</v>
      </c>
      <c r="F82" s="14">
        <f t="shared" si="5"/>
        <v>32</v>
      </c>
      <c r="G82" s="15">
        <f t="shared" si="4"/>
        <v>0.21951219512195122</v>
      </c>
    </row>
    <row r="83" spans="1:7" x14ac:dyDescent="0.25">
      <c r="A83" s="14" t="s">
        <v>114</v>
      </c>
      <c r="B83" s="14" t="s">
        <v>95</v>
      </c>
      <c r="C83" s="14" t="s">
        <v>118</v>
      </c>
      <c r="D83" s="14">
        <v>63</v>
      </c>
      <c r="E83" s="14">
        <v>9</v>
      </c>
      <c r="F83" s="14">
        <f t="shared" si="5"/>
        <v>54</v>
      </c>
      <c r="G83" s="15">
        <f t="shared" si="4"/>
        <v>0.14285714285714285</v>
      </c>
    </row>
    <row r="84" spans="1:7" x14ac:dyDescent="0.25">
      <c r="A84" s="14" t="s">
        <v>114</v>
      </c>
      <c r="B84" s="14" t="s">
        <v>96</v>
      </c>
      <c r="C84" s="14" t="s">
        <v>118</v>
      </c>
      <c r="D84" s="14">
        <v>54</v>
      </c>
      <c r="E84" s="14">
        <v>7</v>
      </c>
      <c r="F84" s="14">
        <f t="shared" si="5"/>
        <v>47</v>
      </c>
      <c r="G84" s="15">
        <f t="shared" si="4"/>
        <v>0.12962962962962962</v>
      </c>
    </row>
    <row r="85" spans="1:7" x14ac:dyDescent="0.25">
      <c r="A85" s="14" t="s">
        <v>114</v>
      </c>
      <c r="B85" s="14" t="s">
        <v>113</v>
      </c>
      <c r="C85" s="14" t="s">
        <v>118</v>
      </c>
      <c r="D85" s="14">
        <v>47</v>
      </c>
      <c r="E85" s="14">
        <v>4</v>
      </c>
      <c r="F85" s="14">
        <f t="shared" si="5"/>
        <v>43</v>
      </c>
      <c r="G85" s="15">
        <f t="shared" si="4"/>
        <v>8.5106382978723402E-2</v>
      </c>
    </row>
    <row r="86" spans="1:7" x14ac:dyDescent="0.25">
      <c r="A86" s="14" t="s">
        <v>115</v>
      </c>
      <c r="B86" s="14" t="s">
        <v>94</v>
      </c>
      <c r="C86" s="14" t="s">
        <v>118</v>
      </c>
      <c r="D86" s="14">
        <v>20</v>
      </c>
      <c r="E86" s="14">
        <v>25</v>
      </c>
      <c r="F86" s="14">
        <f t="shared" si="5"/>
        <v>-5</v>
      </c>
      <c r="G86" s="15">
        <f t="shared" si="4"/>
        <v>1.25</v>
      </c>
    </row>
    <row r="87" spans="1:7" x14ac:dyDescent="0.25">
      <c r="A87" s="14" t="s">
        <v>115</v>
      </c>
      <c r="B87" s="14" t="s">
        <v>95</v>
      </c>
      <c r="C87" s="14" t="s">
        <v>118</v>
      </c>
      <c r="D87" s="14">
        <v>90</v>
      </c>
      <c r="E87" s="14">
        <v>33</v>
      </c>
      <c r="F87" s="14">
        <f t="shared" si="5"/>
        <v>57</v>
      </c>
      <c r="G87" s="15">
        <f t="shared" si="4"/>
        <v>0.36666666666666664</v>
      </c>
    </row>
    <row r="88" spans="1:7" x14ac:dyDescent="0.25">
      <c r="A88" s="14" t="s">
        <v>115</v>
      </c>
      <c r="B88" s="14" t="s">
        <v>96</v>
      </c>
      <c r="C88" s="14" t="s">
        <v>118</v>
      </c>
      <c r="D88" s="14">
        <v>80</v>
      </c>
      <c r="E88" s="14">
        <v>26</v>
      </c>
      <c r="F88" s="14">
        <f t="shared" si="5"/>
        <v>54</v>
      </c>
      <c r="G88" s="15">
        <f t="shared" si="4"/>
        <v>0.32500000000000001</v>
      </c>
    </row>
    <row r="89" spans="1:7" x14ac:dyDescent="0.25">
      <c r="A89" s="14" t="s">
        <v>115</v>
      </c>
      <c r="B89" s="14" t="s">
        <v>113</v>
      </c>
      <c r="C89" s="14" t="s">
        <v>118</v>
      </c>
      <c r="D89" s="14">
        <v>29</v>
      </c>
      <c r="E89" s="14">
        <v>10</v>
      </c>
      <c r="F89" s="14">
        <f t="shared" si="5"/>
        <v>19</v>
      </c>
      <c r="G89" s="15">
        <f t="shared" si="4"/>
        <v>0.34482758620689657</v>
      </c>
    </row>
    <row r="90" spans="1:7" x14ac:dyDescent="0.25">
      <c r="A90" s="14" t="s">
        <v>38</v>
      </c>
      <c r="B90" s="14" t="s">
        <v>15</v>
      </c>
      <c r="C90" s="14" t="s">
        <v>119</v>
      </c>
      <c r="D90" s="14">
        <v>434</v>
      </c>
      <c r="E90" s="14">
        <v>296</v>
      </c>
      <c r="F90" s="14">
        <f>+D90-E90</f>
        <v>138</v>
      </c>
      <c r="G90" s="15">
        <f t="shared" si="4"/>
        <v>0.6820276497695853</v>
      </c>
    </row>
    <row r="91" spans="1:7" x14ac:dyDescent="0.25">
      <c r="A91" s="14" t="s">
        <v>38</v>
      </c>
      <c r="B91" s="14" t="s">
        <v>31</v>
      </c>
      <c r="C91" s="14" t="s">
        <v>119</v>
      </c>
      <c r="D91" s="14">
        <v>89</v>
      </c>
      <c r="E91" s="14">
        <v>36</v>
      </c>
      <c r="F91" s="14">
        <f t="shared" ref="F91:F111" si="6">+D91-E91</f>
        <v>53</v>
      </c>
      <c r="G91" s="15">
        <f t="shared" si="4"/>
        <v>0.4044943820224719</v>
      </c>
    </row>
    <row r="92" spans="1:7" x14ac:dyDescent="0.25">
      <c r="A92" s="14" t="s">
        <v>13</v>
      </c>
      <c r="B92" s="14" t="s">
        <v>15</v>
      </c>
      <c r="C92" s="14" t="s">
        <v>119</v>
      </c>
      <c r="D92" s="14">
        <v>454</v>
      </c>
      <c r="E92" s="14">
        <v>202</v>
      </c>
      <c r="F92" s="14">
        <f t="shared" si="6"/>
        <v>252</v>
      </c>
      <c r="G92" s="15">
        <f t="shared" si="4"/>
        <v>0.44493392070484583</v>
      </c>
    </row>
    <row r="93" spans="1:7" x14ac:dyDescent="0.25">
      <c r="A93" s="14" t="s">
        <v>13</v>
      </c>
      <c r="B93" s="14" t="s">
        <v>31</v>
      </c>
      <c r="C93" s="14" t="s">
        <v>119</v>
      </c>
      <c r="D93" s="14">
        <v>63</v>
      </c>
      <c r="E93" s="14">
        <v>23</v>
      </c>
      <c r="F93" s="14">
        <f t="shared" si="6"/>
        <v>40</v>
      </c>
      <c r="G93" s="15">
        <f t="shared" si="4"/>
        <v>0.36507936507936506</v>
      </c>
    </row>
    <row r="94" spans="1:7" x14ac:dyDescent="0.25">
      <c r="A94" s="14" t="s">
        <v>76</v>
      </c>
      <c r="B94" s="14" t="s">
        <v>15</v>
      </c>
      <c r="C94" s="14" t="s">
        <v>119</v>
      </c>
      <c r="D94" s="14">
        <v>400</v>
      </c>
      <c r="E94" s="14">
        <v>190</v>
      </c>
      <c r="F94" s="14">
        <f t="shared" si="6"/>
        <v>210</v>
      </c>
      <c r="G94" s="15">
        <f t="shared" si="4"/>
        <v>0.47499999999999998</v>
      </c>
    </row>
    <row r="95" spans="1:7" x14ac:dyDescent="0.25">
      <c r="A95" s="14" t="s">
        <v>76</v>
      </c>
      <c r="B95" s="14" t="s">
        <v>31</v>
      </c>
      <c r="C95" s="14" t="s">
        <v>119</v>
      </c>
      <c r="D95" s="14">
        <v>100</v>
      </c>
      <c r="E95" s="14">
        <v>41</v>
      </c>
      <c r="F95" s="14">
        <f t="shared" si="6"/>
        <v>59</v>
      </c>
      <c r="G95" s="15">
        <f t="shared" si="4"/>
        <v>0.41</v>
      </c>
    </row>
    <row r="96" spans="1:7" x14ac:dyDescent="0.25">
      <c r="A96" s="14" t="s">
        <v>83</v>
      </c>
      <c r="B96" s="14" t="s">
        <v>15</v>
      </c>
      <c r="C96" s="14" t="s">
        <v>119</v>
      </c>
      <c r="D96" s="14">
        <v>686</v>
      </c>
      <c r="E96" s="14">
        <v>247</v>
      </c>
      <c r="F96" s="14">
        <f t="shared" si="6"/>
        <v>439</v>
      </c>
      <c r="G96" s="15">
        <f t="shared" si="4"/>
        <v>0.36005830903790087</v>
      </c>
    </row>
    <row r="97" spans="1:7" x14ac:dyDescent="0.25">
      <c r="A97" s="14" t="s">
        <v>83</v>
      </c>
      <c r="B97" s="14" t="s">
        <v>31</v>
      </c>
      <c r="C97" s="14" t="s">
        <v>119</v>
      </c>
      <c r="D97" s="14">
        <v>150</v>
      </c>
      <c r="E97" s="14">
        <v>35</v>
      </c>
      <c r="F97" s="14">
        <f t="shared" si="6"/>
        <v>115</v>
      </c>
      <c r="G97" s="15">
        <f t="shared" si="4"/>
        <v>0.23333333333333334</v>
      </c>
    </row>
    <row r="98" spans="1:7" x14ac:dyDescent="0.25">
      <c r="A98" s="14" t="s">
        <v>56</v>
      </c>
      <c r="B98" s="14" t="s">
        <v>15</v>
      </c>
      <c r="C98" s="14" t="s">
        <v>119</v>
      </c>
      <c r="D98" s="14">
        <v>630</v>
      </c>
      <c r="E98" s="14">
        <v>290</v>
      </c>
      <c r="F98" s="14">
        <f t="shared" si="6"/>
        <v>340</v>
      </c>
      <c r="G98" s="15">
        <f t="shared" si="4"/>
        <v>0.46031746031746029</v>
      </c>
    </row>
    <row r="99" spans="1:7" x14ac:dyDescent="0.25">
      <c r="A99" s="14" t="s">
        <v>56</v>
      </c>
      <c r="B99" s="14" t="s">
        <v>31</v>
      </c>
      <c r="C99" s="14" t="s">
        <v>119</v>
      </c>
      <c r="D99" s="14">
        <v>160</v>
      </c>
      <c r="E99" s="14">
        <v>74</v>
      </c>
      <c r="F99" s="14">
        <f t="shared" si="6"/>
        <v>86</v>
      </c>
      <c r="G99" s="15">
        <f t="shared" si="4"/>
        <v>0.46250000000000002</v>
      </c>
    </row>
    <row r="100" spans="1:7" x14ac:dyDescent="0.25">
      <c r="A100" s="14" t="s">
        <v>100</v>
      </c>
      <c r="B100" s="14" t="s">
        <v>15</v>
      </c>
      <c r="C100" s="14" t="s">
        <v>119</v>
      </c>
      <c r="D100" s="14">
        <v>586</v>
      </c>
      <c r="E100" s="14">
        <v>54</v>
      </c>
      <c r="F100" s="14">
        <f t="shared" si="6"/>
        <v>532</v>
      </c>
      <c r="G100" s="15">
        <f t="shared" si="4"/>
        <v>9.2150170648464161E-2</v>
      </c>
    </row>
    <row r="101" spans="1:7" x14ac:dyDescent="0.25">
      <c r="A101" s="14" t="s">
        <v>112</v>
      </c>
      <c r="B101" s="14" t="s">
        <v>94</v>
      </c>
      <c r="C101" s="14" t="s">
        <v>119</v>
      </c>
      <c r="D101" s="14">
        <v>30</v>
      </c>
      <c r="E101" s="14">
        <v>17</v>
      </c>
      <c r="F101" s="14">
        <f t="shared" si="6"/>
        <v>13</v>
      </c>
      <c r="G101" s="15">
        <f t="shared" si="4"/>
        <v>0.56666666666666665</v>
      </c>
    </row>
    <row r="102" spans="1:7" x14ac:dyDescent="0.25">
      <c r="A102" s="14" t="s">
        <v>112</v>
      </c>
      <c r="B102" s="14" t="s">
        <v>95</v>
      </c>
      <c r="C102" s="14" t="s">
        <v>119</v>
      </c>
      <c r="D102" s="14">
        <v>80</v>
      </c>
      <c r="E102" s="14">
        <v>18</v>
      </c>
      <c r="F102" s="14">
        <f t="shared" si="6"/>
        <v>62</v>
      </c>
      <c r="G102" s="15">
        <f t="shared" si="4"/>
        <v>0.22500000000000001</v>
      </c>
    </row>
    <row r="103" spans="1:7" x14ac:dyDescent="0.25">
      <c r="A103" s="14" t="s">
        <v>112</v>
      </c>
      <c r="B103" s="14" t="s">
        <v>96</v>
      </c>
      <c r="C103" s="14" t="s">
        <v>119</v>
      </c>
      <c r="D103" s="14">
        <v>37</v>
      </c>
      <c r="E103" s="14">
        <v>19</v>
      </c>
      <c r="F103" s="14">
        <f t="shared" si="6"/>
        <v>18</v>
      </c>
      <c r="G103" s="15">
        <f t="shared" si="4"/>
        <v>0.51351351351351349</v>
      </c>
    </row>
    <row r="104" spans="1:7" x14ac:dyDescent="0.25">
      <c r="A104" s="14" t="s">
        <v>112</v>
      </c>
      <c r="B104" s="14" t="s">
        <v>113</v>
      </c>
      <c r="C104" s="14" t="s">
        <v>119</v>
      </c>
      <c r="D104" s="14">
        <v>41</v>
      </c>
      <c r="E104" s="14">
        <v>11</v>
      </c>
      <c r="F104" s="14">
        <f t="shared" si="6"/>
        <v>30</v>
      </c>
      <c r="G104" s="15">
        <f t="shared" si="4"/>
        <v>0.26829268292682928</v>
      </c>
    </row>
    <row r="105" spans="1:7" x14ac:dyDescent="0.25">
      <c r="A105" s="14" t="s">
        <v>114</v>
      </c>
      <c r="B105" s="14" t="s">
        <v>95</v>
      </c>
      <c r="C105" s="14" t="s">
        <v>119</v>
      </c>
      <c r="D105" s="14">
        <v>63</v>
      </c>
      <c r="E105" s="14">
        <v>9</v>
      </c>
      <c r="F105" s="14">
        <f t="shared" si="6"/>
        <v>54</v>
      </c>
      <c r="G105" s="15">
        <f t="shared" si="4"/>
        <v>0.14285714285714285</v>
      </c>
    </row>
    <row r="106" spans="1:7" x14ac:dyDescent="0.25">
      <c r="A106" s="14" t="s">
        <v>114</v>
      </c>
      <c r="B106" s="14" t="s">
        <v>96</v>
      </c>
      <c r="C106" s="14" t="s">
        <v>119</v>
      </c>
      <c r="D106" s="14">
        <v>54</v>
      </c>
      <c r="E106" s="14">
        <v>8</v>
      </c>
      <c r="F106" s="14">
        <f t="shared" si="6"/>
        <v>46</v>
      </c>
      <c r="G106" s="15">
        <f t="shared" si="4"/>
        <v>0.14814814814814814</v>
      </c>
    </row>
    <row r="107" spans="1:7" x14ac:dyDescent="0.25">
      <c r="A107" s="14" t="s">
        <v>114</v>
      </c>
      <c r="B107" s="14" t="s">
        <v>113</v>
      </c>
      <c r="C107" s="14" t="s">
        <v>119</v>
      </c>
      <c r="D107" s="14">
        <v>47</v>
      </c>
      <c r="E107" s="14">
        <v>4</v>
      </c>
      <c r="F107" s="14">
        <f t="shared" si="6"/>
        <v>43</v>
      </c>
      <c r="G107" s="15">
        <f t="shared" si="4"/>
        <v>8.5106382978723402E-2</v>
      </c>
    </row>
    <row r="108" spans="1:7" x14ac:dyDescent="0.25">
      <c r="A108" s="14" t="s">
        <v>115</v>
      </c>
      <c r="B108" s="14" t="s">
        <v>94</v>
      </c>
      <c r="C108" s="14" t="s">
        <v>119</v>
      </c>
      <c r="D108" s="14">
        <v>20</v>
      </c>
      <c r="E108" s="14">
        <v>25</v>
      </c>
      <c r="F108" s="14">
        <f t="shared" si="6"/>
        <v>-5</v>
      </c>
      <c r="G108" s="15">
        <f t="shared" si="4"/>
        <v>1.25</v>
      </c>
    </row>
    <row r="109" spans="1:7" x14ac:dyDescent="0.25">
      <c r="A109" s="14" t="s">
        <v>115</v>
      </c>
      <c r="B109" s="14" t="s">
        <v>95</v>
      </c>
      <c r="C109" s="14" t="s">
        <v>119</v>
      </c>
      <c r="D109" s="14">
        <v>90</v>
      </c>
      <c r="E109" s="14">
        <v>33</v>
      </c>
      <c r="F109" s="14">
        <f t="shared" si="6"/>
        <v>57</v>
      </c>
      <c r="G109" s="15">
        <f t="shared" si="4"/>
        <v>0.36666666666666664</v>
      </c>
    </row>
    <row r="110" spans="1:7" x14ac:dyDescent="0.25">
      <c r="A110" s="14" t="s">
        <v>115</v>
      </c>
      <c r="B110" s="14" t="s">
        <v>96</v>
      </c>
      <c r="C110" s="14" t="s">
        <v>119</v>
      </c>
      <c r="D110" s="14">
        <v>80</v>
      </c>
      <c r="E110" s="14">
        <v>26</v>
      </c>
      <c r="F110" s="14">
        <f t="shared" si="6"/>
        <v>54</v>
      </c>
      <c r="G110" s="15">
        <f t="shared" si="4"/>
        <v>0.32500000000000001</v>
      </c>
    </row>
    <row r="111" spans="1:7" x14ac:dyDescent="0.25">
      <c r="A111" s="14" t="s">
        <v>115</v>
      </c>
      <c r="B111" s="14" t="s">
        <v>113</v>
      </c>
      <c r="C111" s="14" t="s">
        <v>119</v>
      </c>
      <c r="D111" s="14">
        <v>29</v>
      </c>
      <c r="E111" s="14">
        <v>10</v>
      </c>
      <c r="F111" s="14">
        <f t="shared" si="6"/>
        <v>19</v>
      </c>
      <c r="G111" s="15">
        <f t="shared" si="4"/>
        <v>0.34482758620689657</v>
      </c>
    </row>
    <row r="112" spans="1:7" x14ac:dyDescent="0.25">
      <c r="A112" s="14" t="s">
        <v>38</v>
      </c>
      <c r="B112" s="14" t="s">
        <v>15</v>
      </c>
      <c r="C112" s="14" t="s">
        <v>120</v>
      </c>
      <c r="D112" s="14">
        <v>434</v>
      </c>
      <c r="E112" s="14">
        <v>363</v>
      </c>
      <c r="F112" s="14">
        <f>+D112-E112</f>
        <v>71</v>
      </c>
      <c r="G112" s="15">
        <f t="shared" si="4"/>
        <v>0.83640552995391704</v>
      </c>
    </row>
    <row r="113" spans="1:7" x14ac:dyDescent="0.25">
      <c r="A113" s="14" t="s">
        <v>38</v>
      </c>
      <c r="B113" s="14" t="s">
        <v>31</v>
      </c>
      <c r="C113" s="14" t="s">
        <v>120</v>
      </c>
      <c r="D113" s="14">
        <v>89</v>
      </c>
      <c r="E113" s="14">
        <v>50</v>
      </c>
      <c r="F113" s="14">
        <f t="shared" ref="F113:F133" si="7">+D113-E113</f>
        <v>39</v>
      </c>
      <c r="G113" s="15">
        <f t="shared" si="4"/>
        <v>0.5617977528089888</v>
      </c>
    </row>
    <row r="114" spans="1:7" x14ac:dyDescent="0.25">
      <c r="A114" s="14" t="s">
        <v>13</v>
      </c>
      <c r="B114" s="14" t="s">
        <v>15</v>
      </c>
      <c r="C114" s="14" t="s">
        <v>120</v>
      </c>
      <c r="D114" s="14">
        <v>454</v>
      </c>
      <c r="E114" s="14">
        <v>255</v>
      </c>
      <c r="F114" s="14">
        <f t="shared" si="7"/>
        <v>199</v>
      </c>
      <c r="G114" s="15">
        <f t="shared" si="4"/>
        <v>0.56167400881057272</v>
      </c>
    </row>
    <row r="115" spans="1:7" x14ac:dyDescent="0.25">
      <c r="A115" s="14" t="s">
        <v>13</v>
      </c>
      <c r="B115" s="14" t="s">
        <v>31</v>
      </c>
      <c r="C115" s="14" t="s">
        <v>120</v>
      </c>
      <c r="D115" s="14">
        <v>63</v>
      </c>
      <c r="E115" s="14">
        <v>25</v>
      </c>
      <c r="F115" s="14">
        <f t="shared" si="7"/>
        <v>38</v>
      </c>
      <c r="G115" s="15">
        <f t="shared" si="4"/>
        <v>0.3968253968253968</v>
      </c>
    </row>
    <row r="116" spans="1:7" x14ac:dyDescent="0.25">
      <c r="A116" s="14" t="s">
        <v>76</v>
      </c>
      <c r="B116" s="14" t="s">
        <v>15</v>
      </c>
      <c r="C116" s="14" t="s">
        <v>120</v>
      </c>
      <c r="D116" s="14">
        <v>400</v>
      </c>
      <c r="E116" s="14">
        <v>231</v>
      </c>
      <c r="F116" s="14">
        <f t="shared" si="7"/>
        <v>169</v>
      </c>
      <c r="G116" s="15">
        <f t="shared" si="4"/>
        <v>0.57750000000000001</v>
      </c>
    </row>
    <row r="117" spans="1:7" x14ac:dyDescent="0.25">
      <c r="A117" s="14" t="s">
        <v>76</v>
      </c>
      <c r="B117" s="14" t="s">
        <v>31</v>
      </c>
      <c r="C117" s="14" t="s">
        <v>120</v>
      </c>
      <c r="D117" s="14">
        <v>100</v>
      </c>
      <c r="E117" s="14">
        <v>60</v>
      </c>
      <c r="F117" s="14">
        <f t="shared" si="7"/>
        <v>40</v>
      </c>
      <c r="G117" s="15">
        <f t="shared" si="4"/>
        <v>0.6</v>
      </c>
    </row>
    <row r="118" spans="1:7" x14ac:dyDescent="0.25">
      <c r="A118" s="14" t="s">
        <v>83</v>
      </c>
      <c r="B118" s="14" t="s">
        <v>15</v>
      </c>
      <c r="C118" s="14" t="s">
        <v>120</v>
      </c>
      <c r="D118" s="14">
        <v>686</v>
      </c>
      <c r="E118" s="14">
        <v>307</v>
      </c>
      <c r="F118" s="14">
        <f t="shared" si="7"/>
        <v>379</v>
      </c>
      <c r="G118" s="15">
        <f t="shared" si="4"/>
        <v>0.44752186588921283</v>
      </c>
    </row>
    <row r="119" spans="1:7" x14ac:dyDescent="0.25">
      <c r="A119" s="14" t="s">
        <v>83</v>
      </c>
      <c r="B119" s="14" t="s">
        <v>31</v>
      </c>
      <c r="C119" s="14" t="s">
        <v>120</v>
      </c>
      <c r="D119" s="14">
        <v>150</v>
      </c>
      <c r="E119" s="14">
        <v>45</v>
      </c>
      <c r="F119" s="14">
        <f t="shared" si="7"/>
        <v>105</v>
      </c>
      <c r="G119" s="15">
        <f t="shared" si="4"/>
        <v>0.3</v>
      </c>
    </row>
    <row r="120" spans="1:7" x14ac:dyDescent="0.25">
      <c r="A120" s="14" t="s">
        <v>56</v>
      </c>
      <c r="B120" s="14" t="s">
        <v>15</v>
      </c>
      <c r="C120" s="14" t="s">
        <v>120</v>
      </c>
      <c r="D120" s="14">
        <v>630</v>
      </c>
      <c r="E120" s="14">
        <v>363</v>
      </c>
      <c r="F120" s="14">
        <f t="shared" si="7"/>
        <v>267</v>
      </c>
      <c r="G120" s="15">
        <f t="shared" si="4"/>
        <v>0.57619047619047614</v>
      </c>
    </row>
    <row r="121" spans="1:7" x14ac:dyDescent="0.25">
      <c r="A121" s="14" t="s">
        <v>56</v>
      </c>
      <c r="B121" s="14" t="s">
        <v>31</v>
      </c>
      <c r="C121" s="14" t="s">
        <v>120</v>
      </c>
      <c r="D121" s="14">
        <v>160</v>
      </c>
      <c r="E121" s="14">
        <v>101</v>
      </c>
      <c r="F121" s="14">
        <f t="shared" si="7"/>
        <v>59</v>
      </c>
      <c r="G121" s="15">
        <f t="shared" si="4"/>
        <v>0.63124999999999998</v>
      </c>
    </row>
    <row r="122" spans="1:7" x14ac:dyDescent="0.25">
      <c r="A122" s="14" t="s">
        <v>100</v>
      </c>
      <c r="B122" s="14" t="s">
        <v>15</v>
      </c>
      <c r="C122" s="14" t="s">
        <v>120</v>
      </c>
      <c r="D122" s="14">
        <v>586</v>
      </c>
      <c r="E122" s="14">
        <v>86</v>
      </c>
      <c r="F122" s="14">
        <f t="shared" si="7"/>
        <v>500</v>
      </c>
      <c r="G122" s="15">
        <f t="shared" si="4"/>
        <v>0.14675767918088736</v>
      </c>
    </row>
    <row r="123" spans="1:7" x14ac:dyDescent="0.25">
      <c r="A123" s="14" t="s">
        <v>112</v>
      </c>
      <c r="B123" s="14" t="s">
        <v>94</v>
      </c>
      <c r="C123" s="14" t="s">
        <v>120</v>
      </c>
      <c r="D123" s="14">
        <v>30</v>
      </c>
      <c r="E123" s="14">
        <v>22</v>
      </c>
      <c r="F123" s="14">
        <f t="shared" si="7"/>
        <v>8</v>
      </c>
      <c r="G123" s="15">
        <f t="shared" si="4"/>
        <v>0.73333333333333328</v>
      </c>
    </row>
    <row r="124" spans="1:7" x14ac:dyDescent="0.25">
      <c r="A124" s="14" t="s">
        <v>112</v>
      </c>
      <c r="B124" s="14" t="s">
        <v>95</v>
      </c>
      <c r="C124" s="14" t="s">
        <v>120</v>
      </c>
      <c r="D124" s="14">
        <v>80</v>
      </c>
      <c r="E124" s="14">
        <v>20</v>
      </c>
      <c r="F124" s="14">
        <f t="shared" si="7"/>
        <v>60</v>
      </c>
      <c r="G124" s="15">
        <f t="shared" si="4"/>
        <v>0.25</v>
      </c>
    </row>
    <row r="125" spans="1:7" x14ac:dyDescent="0.25">
      <c r="A125" s="14" t="s">
        <v>112</v>
      </c>
      <c r="B125" s="14" t="s">
        <v>96</v>
      </c>
      <c r="C125" s="14" t="s">
        <v>120</v>
      </c>
      <c r="D125" s="14">
        <v>37</v>
      </c>
      <c r="E125" s="14">
        <v>22</v>
      </c>
      <c r="F125" s="14">
        <f t="shared" si="7"/>
        <v>15</v>
      </c>
      <c r="G125" s="15">
        <f t="shared" si="4"/>
        <v>0.59459459459459463</v>
      </c>
    </row>
    <row r="126" spans="1:7" x14ac:dyDescent="0.25">
      <c r="A126" s="14" t="s">
        <v>112</v>
      </c>
      <c r="B126" s="14" t="s">
        <v>113</v>
      </c>
      <c r="C126" s="14" t="s">
        <v>120</v>
      </c>
      <c r="D126" s="14">
        <v>41</v>
      </c>
      <c r="E126" s="14">
        <v>24</v>
      </c>
      <c r="F126" s="14">
        <f t="shared" si="7"/>
        <v>17</v>
      </c>
      <c r="G126" s="15">
        <f t="shared" si="4"/>
        <v>0.58536585365853655</v>
      </c>
    </row>
    <row r="127" spans="1:7" x14ac:dyDescent="0.25">
      <c r="A127" s="14" t="s">
        <v>114</v>
      </c>
      <c r="B127" s="14" t="s">
        <v>95</v>
      </c>
      <c r="C127" s="14" t="s">
        <v>120</v>
      </c>
      <c r="D127" s="14">
        <v>63</v>
      </c>
      <c r="E127" s="14">
        <v>23</v>
      </c>
      <c r="F127" s="14">
        <f t="shared" si="7"/>
        <v>40</v>
      </c>
      <c r="G127" s="15">
        <f t="shared" si="4"/>
        <v>0.36507936507936506</v>
      </c>
    </row>
    <row r="128" spans="1:7" x14ac:dyDescent="0.25">
      <c r="A128" s="14" t="s">
        <v>114</v>
      </c>
      <c r="B128" s="14" t="s">
        <v>96</v>
      </c>
      <c r="C128" s="14" t="s">
        <v>120</v>
      </c>
      <c r="D128" s="14">
        <v>54</v>
      </c>
      <c r="E128" s="14">
        <v>13</v>
      </c>
      <c r="F128" s="14">
        <f t="shared" si="7"/>
        <v>41</v>
      </c>
      <c r="G128" s="15">
        <f t="shared" si="4"/>
        <v>0.24074074074074073</v>
      </c>
    </row>
    <row r="129" spans="1:7" x14ac:dyDescent="0.25">
      <c r="A129" s="14" t="s">
        <v>114</v>
      </c>
      <c r="B129" s="14" t="s">
        <v>113</v>
      </c>
      <c r="C129" s="14" t="s">
        <v>120</v>
      </c>
      <c r="D129" s="14">
        <v>47</v>
      </c>
      <c r="E129" s="14">
        <v>7</v>
      </c>
      <c r="F129" s="14">
        <f t="shared" si="7"/>
        <v>40</v>
      </c>
      <c r="G129" s="15">
        <f t="shared" si="4"/>
        <v>0.14893617021276595</v>
      </c>
    </row>
    <row r="130" spans="1:7" x14ac:dyDescent="0.25">
      <c r="A130" s="14" t="s">
        <v>115</v>
      </c>
      <c r="B130" s="14" t="s">
        <v>94</v>
      </c>
      <c r="C130" s="14" t="s">
        <v>120</v>
      </c>
      <c r="D130" s="14">
        <v>20</v>
      </c>
      <c r="E130" s="14">
        <v>25</v>
      </c>
      <c r="F130" s="14">
        <f t="shared" si="7"/>
        <v>-5</v>
      </c>
      <c r="G130" s="15">
        <f t="shared" ref="G130:G193" si="8">IFERROR(E130/D130,"")</f>
        <v>1.25</v>
      </c>
    </row>
    <row r="131" spans="1:7" x14ac:dyDescent="0.25">
      <c r="A131" s="14" t="s">
        <v>115</v>
      </c>
      <c r="B131" s="14" t="s">
        <v>95</v>
      </c>
      <c r="C131" s="14" t="s">
        <v>120</v>
      </c>
      <c r="D131" s="14">
        <v>90</v>
      </c>
      <c r="E131" s="14">
        <v>33</v>
      </c>
      <c r="F131" s="14">
        <f t="shared" si="7"/>
        <v>57</v>
      </c>
      <c r="G131" s="15">
        <f t="shared" si="8"/>
        <v>0.36666666666666664</v>
      </c>
    </row>
    <row r="132" spans="1:7" x14ac:dyDescent="0.25">
      <c r="A132" s="14" t="s">
        <v>115</v>
      </c>
      <c r="B132" s="14" t="s">
        <v>96</v>
      </c>
      <c r="C132" s="14" t="s">
        <v>120</v>
      </c>
      <c r="D132" s="14">
        <v>80</v>
      </c>
      <c r="E132" s="14">
        <v>26</v>
      </c>
      <c r="F132" s="14">
        <f t="shared" si="7"/>
        <v>54</v>
      </c>
      <c r="G132" s="15">
        <f t="shared" si="8"/>
        <v>0.32500000000000001</v>
      </c>
    </row>
    <row r="133" spans="1:7" x14ac:dyDescent="0.25">
      <c r="A133" s="14" t="s">
        <v>115</v>
      </c>
      <c r="B133" s="14" t="s">
        <v>113</v>
      </c>
      <c r="C133" s="14" t="s">
        <v>120</v>
      </c>
      <c r="D133" s="14">
        <v>29</v>
      </c>
      <c r="E133" s="14">
        <v>10</v>
      </c>
      <c r="F133" s="14">
        <f t="shared" si="7"/>
        <v>19</v>
      </c>
      <c r="G133" s="15">
        <f t="shared" si="8"/>
        <v>0.34482758620689657</v>
      </c>
    </row>
    <row r="134" spans="1:7" x14ac:dyDescent="0.25">
      <c r="A134" s="14" t="s">
        <v>38</v>
      </c>
      <c r="B134" s="14" t="s">
        <v>15</v>
      </c>
      <c r="C134" s="14" t="s">
        <v>121</v>
      </c>
      <c r="D134" s="14">
        <v>434</v>
      </c>
      <c r="E134" s="14">
        <v>417</v>
      </c>
      <c r="F134" s="14">
        <f>+D134-E134</f>
        <v>17</v>
      </c>
      <c r="G134" s="15">
        <f t="shared" si="8"/>
        <v>0.96082949308755761</v>
      </c>
    </row>
    <row r="135" spans="1:7" x14ac:dyDescent="0.25">
      <c r="A135" s="14" t="s">
        <v>38</v>
      </c>
      <c r="B135" s="14" t="s">
        <v>31</v>
      </c>
      <c r="C135" s="14" t="s">
        <v>121</v>
      </c>
      <c r="D135" s="14">
        <v>89</v>
      </c>
      <c r="E135" s="14">
        <v>64</v>
      </c>
      <c r="F135" s="14">
        <f t="shared" ref="F135:F155" si="9">+D135-E135</f>
        <v>25</v>
      </c>
      <c r="G135" s="15">
        <f t="shared" si="8"/>
        <v>0.7191011235955056</v>
      </c>
    </row>
    <row r="136" spans="1:7" x14ac:dyDescent="0.25">
      <c r="A136" s="14" t="s">
        <v>13</v>
      </c>
      <c r="B136" s="14" t="s">
        <v>15</v>
      </c>
      <c r="C136" s="14" t="s">
        <v>121</v>
      </c>
      <c r="D136" s="14">
        <v>454</v>
      </c>
      <c r="E136" s="14">
        <v>400</v>
      </c>
      <c r="F136" s="14">
        <f t="shared" si="9"/>
        <v>54</v>
      </c>
      <c r="G136" s="15">
        <f t="shared" si="8"/>
        <v>0.88105726872246692</v>
      </c>
    </row>
    <row r="137" spans="1:7" x14ac:dyDescent="0.25">
      <c r="A137" s="14" t="s">
        <v>13</v>
      </c>
      <c r="B137" s="14" t="s">
        <v>31</v>
      </c>
      <c r="C137" s="14" t="s">
        <v>121</v>
      </c>
      <c r="D137" s="14">
        <v>63</v>
      </c>
      <c r="E137" s="14">
        <v>35</v>
      </c>
      <c r="F137" s="14">
        <f t="shared" si="9"/>
        <v>28</v>
      </c>
      <c r="G137" s="15">
        <f t="shared" si="8"/>
        <v>0.55555555555555558</v>
      </c>
    </row>
    <row r="138" spans="1:7" x14ac:dyDescent="0.25">
      <c r="A138" s="14" t="s">
        <v>76</v>
      </c>
      <c r="B138" s="14" t="s">
        <v>15</v>
      </c>
      <c r="C138" s="14" t="s">
        <v>121</v>
      </c>
      <c r="D138" s="14">
        <v>400</v>
      </c>
      <c r="E138" s="14">
        <v>348</v>
      </c>
      <c r="F138" s="14">
        <f t="shared" si="9"/>
        <v>52</v>
      </c>
      <c r="G138" s="15">
        <f t="shared" si="8"/>
        <v>0.87</v>
      </c>
    </row>
    <row r="139" spans="1:7" x14ac:dyDescent="0.25">
      <c r="A139" s="14" t="s">
        <v>76</v>
      </c>
      <c r="B139" s="14" t="s">
        <v>31</v>
      </c>
      <c r="C139" s="14" t="s">
        <v>121</v>
      </c>
      <c r="D139" s="14">
        <v>100</v>
      </c>
      <c r="E139" s="14">
        <v>80</v>
      </c>
      <c r="F139" s="14">
        <f t="shared" si="9"/>
        <v>20</v>
      </c>
      <c r="G139" s="15">
        <f t="shared" si="8"/>
        <v>0.8</v>
      </c>
    </row>
    <row r="140" spans="1:7" x14ac:dyDescent="0.25">
      <c r="A140" s="14" t="s">
        <v>83</v>
      </c>
      <c r="B140" s="14" t="s">
        <v>15</v>
      </c>
      <c r="C140" s="14" t="s">
        <v>121</v>
      </c>
      <c r="D140" s="14">
        <v>686</v>
      </c>
      <c r="E140" s="14">
        <v>493</v>
      </c>
      <c r="F140" s="14">
        <f t="shared" si="9"/>
        <v>193</v>
      </c>
      <c r="G140" s="15">
        <f t="shared" si="8"/>
        <v>0.71865889212827994</v>
      </c>
    </row>
    <row r="141" spans="1:7" x14ac:dyDescent="0.25">
      <c r="A141" s="14" t="s">
        <v>83</v>
      </c>
      <c r="B141" s="14" t="s">
        <v>31</v>
      </c>
      <c r="C141" s="14" t="s">
        <v>121</v>
      </c>
      <c r="D141" s="14">
        <v>150</v>
      </c>
      <c r="E141" s="14">
        <v>51</v>
      </c>
      <c r="F141" s="14">
        <f t="shared" si="9"/>
        <v>99</v>
      </c>
      <c r="G141" s="15">
        <f t="shared" si="8"/>
        <v>0.34</v>
      </c>
    </row>
    <row r="142" spans="1:7" x14ac:dyDescent="0.25">
      <c r="A142" s="14" t="s">
        <v>56</v>
      </c>
      <c r="B142" s="14" t="s">
        <v>15</v>
      </c>
      <c r="C142" s="14" t="s">
        <v>121</v>
      </c>
      <c r="D142" s="14">
        <v>630</v>
      </c>
      <c r="E142" s="14">
        <v>593</v>
      </c>
      <c r="F142" s="14">
        <f t="shared" si="9"/>
        <v>37</v>
      </c>
      <c r="G142" s="15">
        <f t="shared" si="8"/>
        <v>0.94126984126984126</v>
      </c>
    </row>
    <row r="143" spans="1:7" x14ac:dyDescent="0.25">
      <c r="A143" s="14" t="s">
        <v>56</v>
      </c>
      <c r="B143" s="14" t="s">
        <v>31</v>
      </c>
      <c r="C143" s="14" t="s">
        <v>121</v>
      </c>
      <c r="D143" s="14">
        <v>160</v>
      </c>
      <c r="E143" s="14">
        <v>120</v>
      </c>
      <c r="F143" s="14">
        <f t="shared" si="9"/>
        <v>40</v>
      </c>
      <c r="G143" s="15">
        <f t="shared" si="8"/>
        <v>0.75</v>
      </c>
    </row>
    <row r="144" spans="1:7" x14ac:dyDescent="0.25">
      <c r="A144" s="14" t="s">
        <v>100</v>
      </c>
      <c r="B144" s="14" t="s">
        <v>15</v>
      </c>
      <c r="C144" s="14" t="s">
        <v>121</v>
      </c>
      <c r="D144" s="14">
        <v>586</v>
      </c>
      <c r="E144" s="14">
        <v>240</v>
      </c>
      <c r="F144" s="14">
        <f t="shared" si="9"/>
        <v>346</v>
      </c>
      <c r="G144" s="15">
        <f t="shared" si="8"/>
        <v>0.40955631399317405</v>
      </c>
    </row>
    <row r="145" spans="1:7" x14ac:dyDescent="0.25">
      <c r="A145" s="14" t="s">
        <v>112</v>
      </c>
      <c r="B145" s="14" t="s">
        <v>94</v>
      </c>
      <c r="C145" s="14" t="s">
        <v>121</v>
      </c>
      <c r="D145" s="14">
        <v>30</v>
      </c>
      <c r="E145" s="14">
        <v>27</v>
      </c>
      <c r="F145" s="14">
        <f t="shared" si="9"/>
        <v>3</v>
      </c>
      <c r="G145" s="15">
        <f t="shared" si="8"/>
        <v>0.9</v>
      </c>
    </row>
    <row r="146" spans="1:7" x14ac:dyDescent="0.25">
      <c r="A146" s="14" t="s">
        <v>112</v>
      </c>
      <c r="B146" s="14" t="s">
        <v>95</v>
      </c>
      <c r="C146" s="14" t="s">
        <v>121</v>
      </c>
      <c r="D146" s="14">
        <v>80</v>
      </c>
      <c r="E146" s="14">
        <v>27</v>
      </c>
      <c r="F146" s="14">
        <f t="shared" si="9"/>
        <v>53</v>
      </c>
      <c r="G146" s="15">
        <f t="shared" si="8"/>
        <v>0.33750000000000002</v>
      </c>
    </row>
    <row r="147" spans="1:7" x14ac:dyDescent="0.25">
      <c r="A147" s="14" t="s">
        <v>112</v>
      </c>
      <c r="B147" s="14" t="s">
        <v>96</v>
      </c>
      <c r="C147" s="14" t="s">
        <v>121</v>
      </c>
      <c r="D147" s="14">
        <v>37</v>
      </c>
      <c r="E147" s="14">
        <v>24</v>
      </c>
      <c r="F147" s="14">
        <f t="shared" si="9"/>
        <v>13</v>
      </c>
      <c r="G147" s="15">
        <f t="shared" si="8"/>
        <v>0.64864864864864868</v>
      </c>
    </row>
    <row r="148" spans="1:7" x14ac:dyDescent="0.25">
      <c r="A148" s="14" t="s">
        <v>112</v>
      </c>
      <c r="B148" s="14" t="s">
        <v>113</v>
      </c>
      <c r="C148" s="14" t="s">
        <v>121</v>
      </c>
      <c r="D148" s="14">
        <v>41</v>
      </c>
      <c r="E148" s="14">
        <v>29</v>
      </c>
      <c r="F148" s="14">
        <f t="shared" si="9"/>
        <v>12</v>
      </c>
      <c r="G148" s="15">
        <f t="shared" si="8"/>
        <v>0.70731707317073167</v>
      </c>
    </row>
    <row r="149" spans="1:7" x14ac:dyDescent="0.25">
      <c r="A149" s="14" t="s">
        <v>114</v>
      </c>
      <c r="B149" s="14" t="s">
        <v>95</v>
      </c>
      <c r="C149" s="14" t="s">
        <v>121</v>
      </c>
      <c r="D149" s="14">
        <v>63</v>
      </c>
      <c r="E149" s="14">
        <v>29</v>
      </c>
      <c r="F149" s="14">
        <f t="shared" si="9"/>
        <v>34</v>
      </c>
      <c r="G149" s="15">
        <f t="shared" si="8"/>
        <v>0.46031746031746029</v>
      </c>
    </row>
    <row r="150" spans="1:7" x14ac:dyDescent="0.25">
      <c r="A150" s="14" t="s">
        <v>114</v>
      </c>
      <c r="B150" s="14" t="s">
        <v>96</v>
      </c>
      <c r="C150" s="14" t="s">
        <v>121</v>
      </c>
      <c r="D150" s="14">
        <v>54</v>
      </c>
      <c r="E150" s="14">
        <v>16</v>
      </c>
      <c r="F150" s="14">
        <f t="shared" si="9"/>
        <v>38</v>
      </c>
      <c r="G150" s="15">
        <f t="shared" si="8"/>
        <v>0.29629629629629628</v>
      </c>
    </row>
    <row r="151" spans="1:7" x14ac:dyDescent="0.25">
      <c r="A151" s="14" t="s">
        <v>114</v>
      </c>
      <c r="B151" s="14" t="s">
        <v>113</v>
      </c>
      <c r="C151" s="14" t="s">
        <v>121</v>
      </c>
      <c r="D151" s="14">
        <v>47</v>
      </c>
      <c r="E151" s="14">
        <v>7</v>
      </c>
      <c r="F151" s="14">
        <f t="shared" si="9"/>
        <v>40</v>
      </c>
      <c r="G151" s="15">
        <f t="shared" si="8"/>
        <v>0.14893617021276595</v>
      </c>
    </row>
    <row r="152" spans="1:7" x14ac:dyDescent="0.25">
      <c r="A152" s="14" t="s">
        <v>115</v>
      </c>
      <c r="B152" s="14" t="s">
        <v>94</v>
      </c>
      <c r="C152" s="14" t="s">
        <v>121</v>
      </c>
      <c r="D152" s="14">
        <v>20</v>
      </c>
      <c r="E152" s="14">
        <v>25</v>
      </c>
      <c r="F152" s="14">
        <f t="shared" si="9"/>
        <v>-5</v>
      </c>
      <c r="G152" s="15">
        <f t="shared" si="8"/>
        <v>1.25</v>
      </c>
    </row>
    <row r="153" spans="1:7" x14ac:dyDescent="0.25">
      <c r="A153" s="14" t="s">
        <v>115</v>
      </c>
      <c r="B153" s="14" t="s">
        <v>95</v>
      </c>
      <c r="C153" s="14" t="s">
        <v>121</v>
      </c>
      <c r="D153" s="14">
        <v>90</v>
      </c>
      <c r="E153" s="14">
        <v>33</v>
      </c>
      <c r="F153" s="14">
        <f t="shared" si="9"/>
        <v>57</v>
      </c>
      <c r="G153" s="15">
        <f t="shared" si="8"/>
        <v>0.36666666666666664</v>
      </c>
    </row>
    <row r="154" spans="1:7" x14ac:dyDescent="0.25">
      <c r="A154" s="14" t="s">
        <v>115</v>
      </c>
      <c r="B154" s="14" t="s">
        <v>96</v>
      </c>
      <c r="C154" s="14" t="s">
        <v>121</v>
      </c>
      <c r="D154" s="14">
        <v>80</v>
      </c>
      <c r="E154" s="14">
        <v>26</v>
      </c>
      <c r="F154" s="14">
        <f t="shared" si="9"/>
        <v>54</v>
      </c>
      <c r="G154" s="15">
        <f t="shared" si="8"/>
        <v>0.32500000000000001</v>
      </c>
    </row>
    <row r="155" spans="1:7" x14ac:dyDescent="0.25">
      <c r="A155" s="14" t="s">
        <v>115</v>
      </c>
      <c r="B155" s="14" t="s">
        <v>113</v>
      </c>
      <c r="C155" s="14" t="s">
        <v>121</v>
      </c>
      <c r="D155" s="14">
        <v>29</v>
      </c>
      <c r="E155" s="14">
        <v>10</v>
      </c>
      <c r="F155" s="14">
        <f t="shared" si="9"/>
        <v>19</v>
      </c>
      <c r="G155" s="15">
        <f t="shared" si="8"/>
        <v>0.34482758620689657</v>
      </c>
    </row>
    <row r="156" spans="1:7" x14ac:dyDescent="0.25">
      <c r="A156" s="14" t="s">
        <v>38</v>
      </c>
      <c r="B156" s="14" t="s">
        <v>15</v>
      </c>
      <c r="C156" s="14" t="s">
        <v>122</v>
      </c>
      <c r="D156" s="14">
        <v>434</v>
      </c>
      <c r="E156" s="14">
        <v>462</v>
      </c>
      <c r="F156" s="14">
        <f>+D156-E156</f>
        <v>-28</v>
      </c>
      <c r="G156" s="15">
        <f t="shared" si="8"/>
        <v>1.064516129032258</v>
      </c>
    </row>
    <row r="157" spans="1:7" x14ac:dyDescent="0.25">
      <c r="A157" s="14" t="s">
        <v>38</v>
      </c>
      <c r="B157" s="14" t="s">
        <v>31</v>
      </c>
      <c r="C157" s="14" t="s">
        <v>122</v>
      </c>
      <c r="D157" s="14">
        <v>89</v>
      </c>
      <c r="E157" s="14">
        <v>65</v>
      </c>
      <c r="F157" s="14">
        <f t="shared" ref="F157:F177" si="10">+D157-E157</f>
        <v>24</v>
      </c>
      <c r="G157" s="15">
        <f t="shared" si="8"/>
        <v>0.7303370786516854</v>
      </c>
    </row>
    <row r="158" spans="1:7" x14ac:dyDescent="0.25">
      <c r="A158" s="14" t="s">
        <v>13</v>
      </c>
      <c r="B158" s="14" t="s">
        <v>15</v>
      </c>
      <c r="C158" s="14" t="s">
        <v>122</v>
      </c>
      <c r="D158" s="14">
        <v>454</v>
      </c>
      <c r="E158" s="14">
        <v>464</v>
      </c>
      <c r="F158" s="14">
        <f t="shared" si="10"/>
        <v>-10</v>
      </c>
      <c r="G158" s="15">
        <f t="shared" si="8"/>
        <v>1.0220264317180616</v>
      </c>
    </row>
    <row r="159" spans="1:7" x14ac:dyDescent="0.25">
      <c r="A159" s="14" t="s">
        <v>13</v>
      </c>
      <c r="B159" s="14" t="s">
        <v>31</v>
      </c>
      <c r="C159" s="14" t="s">
        <v>122</v>
      </c>
      <c r="D159" s="14">
        <v>63</v>
      </c>
      <c r="E159" s="14">
        <v>36</v>
      </c>
      <c r="F159" s="14">
        <f t="shared" si="10"/>
        <v>27</v>
      </c>
      <c r="G159" s="15">
        <f t="shared" si="8"/>
        <v>0.5714285714285714</v>
      </c>
    </row>
    <row r="160" spans="1:7" x14ac:dyDescent="0.25">
      <c r="A160" s="14" t="s">
        <v>76</v>
      </c>
      <c r="B160" s="14" t="s">
        <v>15</v>
      </c>
      <c r="C160" s="14" t="s">
        <v>122</v>
      </c>
      <c r="D160" s="14">
        <v>400</v>
      </c>
      <c r="E160" s="14">
        <v>429</v>
      </c>
      <c r="F160" s="14">
        <f t="shared" si="10"/>
        <v>-29</v>
      </c>
      <c r="G160" s="15">
        <f t="shared" si="8"/>
        <v>1.0725</v>
      </c>
    </row>
    <row r="161" spans="1:7" x14ac:dyDescent="0.25">
      <c r="A161" s="14" t="s">
        <v>76</v>
      </c>
      <c r="B161" s="14" t="s">
        <v>31</v>
      </c>
      <c r="C161" s="14" t="s">
        <v>122</v>
      </c>
      <c r="D161" s="14">
        <v>100</v>
      </c>
      <c r="E161" s="14">
        <v>105</v>
      </c>
      <c r="F161" s="14">
        <f t="shared" si="10"/>
        <v>-5</v>
      </c>
      <c r="G161" s="15">
        <f t="shared" si="8"/>
        <v>1.05</v>
      </c>
    </row>
    <row r="162" spans="1:7" x14ac:dyDescent="0.25">
      <c r="A162" s="14" t="s">
        <v>83</v>
      </c>
      <c r="B162" s="14" t="s">
        <v>15</v>
      </c>
      <c r="C162" s="14" t="s">
        <v>122</v>
      </c>
      <c r="D162" s="14">
        <v>686</v>
      </c>
      <c r="E162" s="14">
        <v>587</v>
      </c>
      <c r="F162" s="14">
        <f t="shared" si="10"/>
        <v>99</v>
      </c>
      <c r="G162" s="15">
        <f t="shared" si="8"/>
        <v>0.85568513119533529</v>
      </c>
    </row>
    <row r="163" spans="1:7" x14ac:dyDescent="0.25">
      <c r="A163" s="14" t="s">
        <v>83</v>
      </c>
      <c r="B163" s="14" t="s">
        <v>31</v>
      </c>
      <c r="C163" s="14" t="s">
        <v>122</v>
      </c>
      <c r="D163" s="14">
        <v>150</v>
      </c>
      <c r="E163" s="14">
        <v>73</v>
      </c>
      <c r="F163" s="14">
        <f t="shared" si="10"/>
        <v>77</v>
      </c>
      <c r="G163" s="15">
        <f t="shared" si="8"/>
        <v>0.48666666666666669</v>
      </c>
    </row>
    <row r="164" spans="1:7" x14ac:dyDescent="0.25">
      <c r="A164" s="14" t="s">
        <v>56</v>
      </c>
      <c r="B164" s="14" t="s">
        <v>15</v>
      </c>
      <c r="C164" s="14" t="s">
        <v>122</v>
      </c>
      <c r="D164" s="14">
        <v>630</v>
      </c>
      <c r="E164" s="14">
        <v>698</v>
      </c>
      <c r="F164" s="14">
        <f t="shared" si="10"/>
        <v>-68</v>
      </c>
      <c r="G164" s="15">
        <f t="shared" si="8"/>
        <v>1.107936507936508</v>
      </c>
    </row>
    <row r="165" spans="1:7" x14ac:dyDescent="0.25">
      <c r="A165" s="14" t="s">
        <v>56</v>
      </c>
      <c r="B165" s="14" t="s">
        <v>31</v>
      </c>
      <c r="C165" s="14" t="s">
        <v>122</v>
      </c>
      <c r="D165" s="14">
        <v>160</v>
      </c>
      <c r="E165" s="14">
        <v>140</v>
      </c>
      <c r="F165" s="14">
        <f t="shared" si="10"/>
        <v>20</v>
      </c>
      <c r="G165" s="15">
        <f t="shared" si="8"/>
        <v>0.875</v>
      </c>
    </row>
    <row r="166" spans="1:7" x14ac:dyDescent="0.25">
      <c r="A166" s="14" t="s">
        <v>100</v>
      </c>
      <c r="B166" s="14" t="s">
        <v>15</v>
      </c>
      <c r="C166" s="14" t="s">
        <v>122</v>
      </c>
      <c r="D166" s="14">
        <v>586</v>
      </c>
      <c r="E166" s="14">
        <v>350</v>
      </c>
      <c r="F166" s="14">
        <f t="shared" si="10"/>
        <v>236</v>
      </c>
      <c r="G166" s="15">
        <f t="shared" si="8"/>
        <v>0.59726962457337884</v>
      </c>
    </row>
    <row r="167" spans="1:7" x14ac:dyDescent="0.25">
      <c r="A167" s="14" t="s">
        <v>112</v>
      </c>
      <c r="B167" s="14" t="s">
        <v>94</v>
      </c>
      <c r="C167" s="14" t="s">
        <v>122</v>
      </c>
      <c r="D167" s="14">
        <v>30</v>
      </c>
      <c r="E167" s="14">
        <v>26</v>
      </c>
      <c r="F167" s="14">
        <f t="shared" si="10"/>
        <v>4</v>
      </c>
      <c r="G167" s="15">
        <f t="shared" si="8"/>
        <v>0.8666666666666667</v>
      </c>
    </row>
    <row r="168" spans="1:7" x14ac:dyDescent="0.25">
      <c r="A168" s="14" t="s">
        <v>112</v>
      </c>
      <c r="B168" s="14" t="s">
        <v>95</v>
      </c>
      <c r="C168" s="14" t="s">
        <v>122</v>
      </c>
      <c r="D168" s="14">
        <v>80</v>
      </c>
      <c r="E168" s="14">
        <v>28</v>
      </c>
      <c r="F168" s="14">
        <f t="shared" si="10"/>
        <v>52</v>
      </c>
      <c r="G168" s="15">
        <f t="shared" si="8"/>
        <v>0.35</v>
      </c>
    </row>
    <row r="169" spans="1:7" x14ac:dyDescent="0.25">
      <c r="A169" s="14" t="s">
        <v>112</v>
      </c>
      <c r="B169" s="14" t="s">
        <v>96</v>
      </c>
      <c r="C169" s="14" t="s">
        <v>122</v>
      </c>
      <c r="D169" s="14">
        <v>37</v>
      </c>
      <c r="E169" s="14">
        <v>26</v>
      </c>
      <c r="F169" s="14">
        <f t="shared" si="10"/>
        <v>11</v>
      </c>
      <c r="G169" s="15">
        <f t="shared" si="8"/>
        <v>0.70270270270270274</v>
      </c>
    </row>
    <row r="170" spans="1:7" x14ac:dyDescent="0.25">
      <c r="A170" s="14" t="s">
        <v>112</v>
      </c>
      <c r="B170" s="14" t="s">
        <v>113</v>
      </c>
      <c r="C170" s="14" t="s">
        <v>122</v>
      </c>
      <c r="D170" s="14">
        <v>41</v>
      </c>
      <c r="E170" s="14">
        <v>32</v>
      </c>
      <c r="F170" s="14">
        <f t="shared" si="10"/>
        <v>9</v>
      </c>
      <c r="G170" s="15">
        <f t="shared" si="8"/>
        <v>0.78048780487804881</v>
      </c>
    </row>
    <row r="171" spans="1:7" x14ac:dyDescent="0.25">
      <c r="A171" s="14" t="s">
        <v>114</v>
      </c>
      <c r="B171" s="14" t="s">
        <v>95</v>
      </c>
      <c r="C171" s="14" t="s">
        <v>122</v>
      </c>
      <c r="D171" s="14">
        <v>63</v>
      </c>
      <c r="E171" s="14">
        <v>32</v>
      </c>
      <c r="F171" s="14">
        <f t="shared" si="10"/>
        <v>31</v>
      </c>
      <c r="G171" s="15">
        <f t="shared" si="8"/>
        <v>0.50793650793650791</v>
      </c>
    </row>
    <row r="172" spans="1:7" x14ac:dyDescent="0.25">
      <c r="A172" s="14" t="s">
        <v>114</v>
      </c>
      <c r="B172" s="14" t="s">
        <v>96</v>
      </c>
      <c r="C172" s="14" t="s">
        <v>122</v>
      </c>
      <c r="D172" s="14">
        <v>54</v>
      </c>
      <c r="E172" s="14">
        <v>18</v>
      </c>
      <c r="F172" s="14">
        <f t="shared" si="10"/>
        <v>36</v>
      </c>
      <c r="G172" s="15">
        <f t="shared" si="8"/>
        <v>0.33333333333333331</v>
      </c>
    </row>
    <row r="173" spans="1:7" x14ac:dyDescent="0.25">
      <c r="A173" s="14" t="s">
        <v>114</v>
      </c>
      <c r="B173" s="14" t="s">
        <v>113</v>
      </c>
      <c r="C173" s="14" t="s">
        <v>122</v>
      </c>
      <c r="D173" s="14">
        <v>47</v>
      </c>
      <c r="E173" s="14">
        <v>7</v>
      </c>
      <c r="F173" s="14">
        <f t="shared" si="10"/>
        <v>40</v>
      </c>
      <c r="G173" s="15">
        <f t="shared" si="8"/>
        <v>0.14893617021276595</v>
      </c>
    </row>
    <row r="174" spans="1:7" x14ac:dyDescent="0.25">
      <c r="A174" s="14" t="s">
        <v>115</v>
      </c>
      <c r="B174" s="14" t="s">
        <v>94</v>
      </c>
      <c r="C174" s="14" t="s">
        <v>122</v>
      </c>
      <c r="D174" s="14">
        <v>20</v>
      </c>
      <c r="E174" s="14">
        <v>59</v>
      </c>
      <c r="F174" s="14">
        <f t="shared" si="10"/>
        <v>-39</v>
      </c>
      <c r="G174" s="15">
        <f t="shared" si="8"/>
        <v>2.95</v>
      </c>
    </row>
    <row r="175" spans="1:7" x14ac:dyDescent="0.25">
      <c r="A175" s="14" t="s">
        <v>115</v>
      </c>
      <c r="B175" s="14" t="s">
        <v>95</v>
      </c>
      <c r="C175" s="14" t="s">
        <v>122</v>
      </c>
      <c r="D175" s="14">
        <v>90</v>
      </c>
      <c r="E175" s="14">
        <v>82</v>
      </c>
      <c r="F175" s="14">
        <f t="shared" si="10"/>
        <v>8</v>
      </c>
      <c r="G175" s="15">
        <f t="shared" si="8"/>
        <v>0.91111111111111109</v>
      </c>
    </row>
    <row r="176" spans="1:7" x14ac:dyDescent="0.25">
      <c r="A176" s="14" t="s">
        <v>115</v>
      </c>
      <c r="B176" s="14" t="s">
        <v>96</v>
      </c>
      <c r="C176" s="14" t="s">
        <v>122</v>
      </c>
      <c r="D176" s="14">
        <v>80</v>
      </c>
      <c r="E176" s="14">
        <v>70</v>
      </c>
      <c r="F176" s="14">
        <f t="shared" si="10"/>
        <v>10</v>
      </c>
      <c r="G176" s="15">
        <f t="shared" si="8"/>
        <v>0.875</v>
      </c>
    </row>
    <row r="177" spans="1:7" x14ac:dyDescent="0.25">
      <c r="A177" s="14" t="s">
        <v>115</v>
      </c>
      <c r="B177" s="14" t="s">
        <v>113</v>
      </c>
      <c r="C177" s="14" t="s">
        <v>122</v>
      </c>
      <c r="D177" s="14">
        <v>29</v>
      </c>
      <c r="E177" s="14">
        <v>32</v>
      </c>
      <c r="F177" s="14">
        <f t="shared" si="10"/>
        <v>-3</v>
      </c>
      <c r="G177" s="15">
        <f t="shared" si="8"/>
        <v>1.103448275862069</v>
      </c>
    </row>
    <row r="178" spans="1:7" x14ac:dyDescent="0.25">
      <c r="A178" s="14" t="s">
        <v>38</v>
      </c>
      <c r="B178" s="14" t="s">
        <v>15</v>
      </c>
      <c r="C178" s="14" t="s">
        <v>123</v>
      </c>
      <c r="D178" s="14">
        <v>434</v>
      </c>
      <c r="E178" s="14">
        <v>469</v>
      </c>
      <c r="F178" s="14">
        <f>+D178-E178</f>
        <v>-35</v>
      </c>
      <c r="G178" s="15">
        <f t="shared" si="8"/>
        <v>1.0806451612903225</v>
      </c>
    </row>
    <row r="179" spans="1:7" x14ac:dyDescent="0.25">
      <c r="A179" s="14" t="s">
        <v>38</v>
      </c>
      <c r="B179" s="14" t="s">
        <v>31</v>
      </c>
      <c r="C179" s="14" t="s">
        <v>123</v>
      </c>
      <c r="D179" s="14">
        <v>89</v>
      </c>
      <c r="E179" s="14">
        <v>64</v>
      </c>
      <c r="F179" s="14">
        <f t="shared" ref="F179:F199" si="11">+D179-E179</f>
        <v>25</v>
      </c>
      <c r="G179" s="15">
        <f t="shared" si="8"/>
        <v>0.7191011235955056</v>
      </c>
    </row>
    <row r="180" spans="1:7" x14ac:dyDescent="0.25">
      <c r="A180" s="14" t="s">
        <v>13</v>
      </c>
      <c r="B180" s="14" t="s">
        <v>15</v>
      </c>
      <c r="C180" s="14" t="s">
        <v>123</v>
      </c>
      <c r="D180" s="14">
        <v>454</v>
      </c>
      <c r="E180" s="14">
        <v>477</v>
      </c>
      <c r="F180" s="14">
        <f t="shared" si="11"/>
        <v>-23</v>
      </c>
      <c r="G180" s="15">
        <f t="shared" si="8"/>
        <v>1.0506607929515419</v>
      </c>
    </row>
    <row r="181" spans="1:7" x14ac:dyDescent="0.25">
      <c r="A181" s="14" t="s">
        <v>13</v>
      </c>
      <c r="B181" s="14" t="s">
        <v>31</v>
      </c>
      <c r="C181" s="14" t="s">
        <v>123</v>
      </c>
      <c r="D181" s="14">
        <v>63</v>
      </c>
      <c r="E181" s="14">
        <v>39</v>
      </c>
      <c r="F181" s="14">
        <f t="shared" si="11"/>
        <v>24</v>
      </c>
      <c r="G181" s="15">
        <f t="shared" si="8"/>
        <v>0.61904761904761907</v>
      </c>
    </row>
    <row r="182" spans="1:7" x14ac:dyDescent="0.25">
      <c r="A182" s="14" t="s">
        <v>76</v>
      </c>
      <c r="B182" s="14" t="s">
        <v>15</v>
      </c>
      <c r="C182" s="14" t="s">
        <v>123</v>
      </c>
      <c r="D182" s="14">
        <v>400</v>
      </c>
      <c r="E182" s="14">
        <v>444</v>
      </c>
      <c r="F182" s="14">
        <f t="shared" si="11"/>
        <v>-44</v>
      </c>
      <c r="G182" s="15">
        <f t="shared" si="8"/>
        <v>1.1100000000000001</v>
      </c>
    </row>
    <row r="183" spans="1:7" x14ac:dyDescent="0.25">
      <c r="A183" s="14" t="s">
        <v>76</v>
      </c>
      <c r="B183" s="14" t="s">
        <v>31</v>
      </c>
      <c r="C183" s="14" t="s">
        <v>123</v>
      </c>
      <c r="D183" s="14">
        <v>100</v>
      </c>
      <c r="E183" s="14">
        <v>109</v>
      </c>
      <c r="F183" s="14">
        <f t="shared" si="11"/>
        <v>-9</v>
      </c>
      <c r="G183" s="15">
        <f t="shared" si="8"/>
        <v>1.0900000000000001</v>
      </c>
    </row>
    <row r="184" spans="1:7" x14ac:dyDescent="0.25">
      <c r="A184" s="14" t="s">
        <v>83</v>
      </c>
      <c r="B184" s="14" t="s">
        <v>15</v>
      </c>
      <c r="C184" s="14" t="s">
        <v>123</v>
      </c>
      <c r="D184" s="14">
        <v>686</v>
      </c>
      <c r="E184" s="14">
        <v>606</v>
      </c>
      <c r="F184" s="14">
        <f t="shared" si="11"/>
        <v>80</v>
      </c>
      <c r="G184" s="15">
        <f t="shared" si="8"/>
        <v>0.88338192419825068</v>
      </c>
    </row>
    <row r="185" spans="1:7" x14ac:dyDescent="0.25">
      <c r="A185" s="14" t="s">
        <v>83</v>
      </c>
      <c r="B185" s="14" t="s">
        <v>31</v>
      </c>
      <c r="C185" s="14" t="s">
        <v>123</v>
      </c>
      <c r="D185" s="14">
        <v>150</v>
      </c>
      <c r="E185" s="14">
        <v>81</v>
      </c>
      <c r="F185" s="14">
        <f t="shared" si="11"/>
        <v>69</v>
      </c>
      <c r="G185" s="15">
        <f t="shared" si="8"/>
        <v>0.54</v>
      </c>
    </row>
    <row r="186" spans="1:7" x14ac:dyDescent="0.25">
      <c r="A186" s="14" t="s">
        <v>56</v>
      </c>
      <c r="B186" s="14" t="s">
        <v>15</v>
      </c>
      <c r="C186" s="14" t="s">
        <v>123</v>
      </c>
      <c r="D186" s="14">
        <v>630</v>
      </c>
      <c r="E186" s="14">
        <v>715</v>
      </c>
      <c r="F186" s="14">
        <f t="shared" si="11"/>
        <v>-85</v>
      </c>
      <c r="G186" s="15">
        <f t="shared" si="8"/>
        <v>1.1349206349206349</v>
      </c>
    </row>
    <row r="187" spans="1:7" x14ac:dyDescent="0.25">
      <c r="A187" s="14" t="s">
        <v>56</v>
      </c>
      <c r="B187" s="14" t="s">
        <v>31</v>
      </c>
      <c r="C187" s="14" t="s">
        <v>123</v>
      </c>
      <c r="D187" s="14">
        <v>160</v>
      </c>
      <c r="E187" s="14">
        <v>143</v>
      </c>
      <c r="F187" s="14">
        <f t="shared" si="11"/>
        <v>17</v>
      </c>
      <c r="G187" s="15">
        <f t="shared" si="8"/>
        <v>0.89375000000000004</v>
      </c>
    </row>
    <row r="188" spans="1:7" x14ac:dyDescent="0.25">
      <c r="A188" s="14" t="s">
        <v>100</v>
      </c>
      <c r="B188" s="14" t="s">
        <v>15</v>
      </c>
      <c r="C188" s="14" t="s">
        <v>123</v>
      </c>
      <c r="D188" s="14">
        <v>586</v>
      </c>
      <c r="E188" s="14">
        <v>858</v>
      </c>
      <c r="F188" s="14">
        <f t="shared" si="11"/>
        <v>-272</v>
      </c>
      <c r="G188" s="15">
        <f t="shared" si="8"/>
        <v>1.4641638225255973</v>
      </c>
    </row>
    <row r="189" spans="1:7" x14ac:dyDescent="0.25">
      <c r="A189" s="14" t="s">
        <v>112</v>
      </c>
      <c r="B189" s="14" t="s">
        <v>94</v>
      </c>
      <c r="C189" s="14" t="s">
        <v>123</v>
      </c>
      <c r="D189" s="14">
        <v>30</v>
      </c>
      <c r="E189" s="14">
        <v>28</v>
      </c>
      <c r="F189" s="14">
        <f t="shared" si="11"/>
        <v>2</v>
      </c>
      <c r="G189" s="15">
        <f t="shared" si="8"/>
        <v>0.93333333333333335</v>
      </c>
    </row>
    <row r="190" spans="1:7" x14ac:dyDescent="0.25">
      <c r="A190" s="14" t="s">
        <v>112</v>
      </c>
      <c r="B190" s="14" t="s">
        <v>95</v>
      </c>
      <c r="C190" s="14" t="s">
        <v>123</v>
      </c>
      <c r="D190" s="14">
        <v>80</v>
      </c>
      <c r="E190" s="14">
        <v>35</v>
      </c>
      <c r="F190" s="14">
        <f t="shared" si="11"/>
        <v>45</v>
      </c>
      <c r="G190" s="15">
        <f t="shared" si="8"/>
        <v>0.4375</v>
      </c>
    </row>
    <row r="191" spans="1:7" x14ac:dyDescent="0.25">
      <c r="A191" s="14" t="s">
        <v>112</v>
      </c>
      <c r="B191" s="14" t="s">
        <v>96</v>
      </c>
      <c r="C191" s="14" t="s">
        <v>123</v>
      </c>
      <c r="D191" s="14">
        <v>37</v>
      </c>
      <c r="E191" s="14">
        <v>28</v>
      </c>
      <c r="F191" s="14">
        <f t="shared" si="11"/>
        <v>9</v>
      </c>
      <c r="G191" s="15">
        <f t="shared" si="8"/>
        <v>0.7567567567567568</v>
      </c>
    </row>
    <row r="192" spans="1:7" x14ac:dyDescent="0.25">
      <c r="A192" s="14" t="s">
        <v>112</v>
      </c>
      <c r="B192" s="14" t="s">
        <v>113</v>
      </c>
      <c r="C192" s="14" t="s">
        <v>123</v>
      </c>
      <c r="D192" s="14">
        <v>41</v>
      </c>
      <c r="E192" s="14">
        <v>39</v>
      </c>
      <c r="F192" s="14">
        <f t="shared" si="11"/>
        <v>2</v>
      </c>
      <c r="G192" s="15">
        <f t="shared" si="8"/>
        <v>0.95121951219512191</v>
      </c>
    </row>
    <row r="193" spans="1:7" x14ac:dyDescent="0.25">
      <c r="A193" s="14" t="s">
        <v>114</v>
      </c>
      <c r="B193" s="14" t="s">
        <v>95</v>
      </c>
      <c r="C193" s="14" t="s">
        <v>123</v>
      </c>
      <c r="D193" s="14">
        <v>63</v>
      </c>
      <c r="E193" s="14">
        <v>37</v>
      </c>
      <c r="F193" s="14">
        <f t="shared" si="11"/>
        <v>26</v>
      </c>
      <c r="G193" s="15">
        <f t="shared" si="8"/>
        <v>0.58730158730158732</v>
      </c>
    </row>
    <row r="194" spans="1:7" x14ac:dyDescent="0.25">
      <c r="A194" s="14" t="s">
        <v>114</v>
      </c>
      <c r="B194" s="14" t="s">
        <v>96</v>
      </c>
      <c r="C194" s="14" t="s">
        <v>123</v>
      </c>
      <c r="D194" s="14">
        <v>54</v>
      </c>
      <c r="E194" s="14">
        <v>23</v>
      </c>
      <c r="F194" s="14">
        <f t="shared" si="11"/>
        <v>31</v>
      </c>
      <c r="G194" s="15">
        <f t="shared" ref="G194:G215" si="12">IFERROR(E194/D194,"")</f>
        <v>0.42592592592592593</v>
      </c>
    </row>
    <row r="195" spans="1:7" x14ac:dyDescent="0.25">
      <c r="A195" s="14" t="s">
        <v>114</v>
      </c>
      <c r="B195" s="14" t="s">
        <v>113</v>
      </c>
      <c r="C195" s="14" t="s">
        <v>123</v>
      </c>
      <c r="D195" s="14">
        <v>47</v>
      </c>
      <c r="E195" s="14">
        <v>9</v>
      </c>
      <c r="F195" s="14">
        <f t="shared" si="11"/>
        <v>38</v>
      </c>
      <c r="G195" s="15">
        <f t="shared" si="12"/>
        <v>0.19148936170212766</v>
      </c>
    </row>
    <row r="196" spans="1:7" x14ac:dyDescent="0.25">
      <c r="A196" s="14" t="s">
        <v>115</v>
      </c>
      <c r="B196" s="14" t="s">
        <v>94</v>
      </c>
      <c r="C196" s="14" t="s">
        <v>123</v>
      </c>
      <c r="D196" s="14">
        <v>20</v>
      </c>
      <c r="E196" s="14">
        <v>63</v>
      </c>
      <c r="F196" s="14">
        <f t="shared" si="11"/>
        <v>-43</v>
      </c>
      <c r="G196" s="15">
        <f t="shared" si="12"/>
        <v>3.15</v>
      </c>
    </row>
    <row r="197" spans="1:7" x14ac:dyDescent="0.25">
      <c r="A197" s="14" t="s">
        <v>115</v>
      </c>
      <c r="B197" s="14" t="s">
        <v>95</v>
      </c>
      <c r="C197" s="14" t="s">
        <v>123</v>
      </c>
      <c r="D197" s="14">
        <v>90</v>
      </c>
      <c r="E197" s="14">
        <v>87</v>
      </c>
      <c r="F197" s="14">
        <f t="shared" si="11"/>
        <v>3</v>
      </c>
      <c r="G197" s="15">
        <f t="shared" si="12"/>
        <v>0.96666666666666667</v>
      </c>
    </row>
    <row r="198" spans="1:7" x14ac:dyDescent="0.25">
      <c r="A198" s="14" t="s">
        <v>115</v>
      </c>
      <c r="B198" s="14" t="s">
        <v>96</v>
      </c>
      <c r="C198" s="14" t="s">
        <v>123</v>
      </c>
      <c r="D198" s="14">
        <v>80</v>
      </c>
      <c r="E198" s="14">
        <v>72</v>
      </c>
      <c r="F198" s="14">
        <f t="shared" si="11"/>
        <v>8</v>
      </c>
      <c r="G198" s="15">
        <f t="shared" si="12"/>
        <v>0.9</v>
      </c>
    </row>
    <row r="199" spans="1:7" x14ac:dyDescent="0.25">
      <c r="A199" s="14" t="s">
        <v>115</v>
      </c>
      <c r="B199" s="14" t="s">
        <v>113</v>
      </c>
      <c r="C199" s="14" t="s">
        <v>123</v>
      </c>
      <c r="D199" s="14">
        <v>29</v>
      </c>
      <c r="E199" s="14">
        <v>37</v>
      </c>
      <c r="F199" s="14">
        <f t="shared" si="11"/>
        <v>-8</v>
      </c>
      <c r="G199" s="15">
        <f t="shared" si="12"/>
        <v>1.2758620689655173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Concentrado metas y avance</vt:lpstr>
      <vt:lpstr>Meta Reinscrito</vt:lpstr>
      <vt:lpstr>Avance 2526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</dc:creator>
  <cp:lastModifiedBy>CEO</cp:lastModifiedBy>
  <dcterms:created xsi:type="dcterms:W3CDTF">2026-05-22T21:50:50Z</dcterms:created>
  <dcterms:modified xsi:type="dcterms:W3CDTF">2026-05-23T17:03:06Z</dcterms:modified>
</cp:coreProperties>
</file>